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Russo.AzureAD\AppData\Local\Microsoft\Windows\INetCache\Content.Outlook\OITHSWL3\"/>
    </mc:Choice>
  </mc:AlternateContent>
  <xr:revisionPtr revIDLastSave="0" documentId="13_ncr:1_{56C63046-43B9-4081-AB07-B8139A7F32F4}" xr6:coauthVersionLast="47" xr6:coauthVersionMax="47" xr10:uidLastSave="{00000000-0000-0000-0000-000000000000}"/>
  <bookViews>
    <workbookView xWindow="-22080" yWindow="-1095" windowWidth="21600" windowHeight="11295" xr2:uid="{00000000-000D-0000-FFFF-FFFF00000000}"/>
  </bookViews>
  <sheets>
    <sheet name="Payment Summaries" sheetId="1" r:id="rId1"/>
    <sheet name="Closing Cost Estimate" sheetId="2" r:id="rId2"/>
    <sheet name="Amortization Schedule" sheetId="3" r:id="rId3"/>
    <sheet name="Cal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G32" i="2" s="1"/>
  <c r="F40" i="4"/>
  <c r="F34" i="4"/>
  <c r="F33" i="4"/>
  <c r="AC50" i="4" s="1"/>
  <c r="F32" i="4"/>
  <c r="F12" i="4"/>
  <c r="AJ6" i="4"/>
  <c r="AK6" i="4" s="1"/>
  <c r="F6" i="4"/>
  <c r="F5" i="4"/>
  <c r="H21" i="4" s="1"/>
  <c r="F4" i="4"/>
  <c r="D130" i="3"/>
  <c r="D171" i="3" s="1"/>
  <c r="D212" i="3" s="1"/>
  <c r="D253" i="3" s="1"/>
  <c r="D294" i="3" s="1"/>
  <c r="D335" i="3" s="1"/>
  <c r="D371" i="3" s="1"/>
  <c r="D89" i="3"/>
  <c r="D55" i="3"/>
  <c r="D91" i="3" s="1"/>
  <c r="D132" i="3" s="1"/>
  <c r="D173" i="3" s="1"/>
  <c r="D214" i="3" s="1"/>
  <c r="D255" i="3" s="1"/>
  <c r="D296" i="3" s="1"/>
  <c r="D337" i="3" s="1"/>
  <c r="D373" i="3" s="1"/>
  <c r="D53" i="3"/>
  <c r="D10" i="3"/>
  <c r="D51" i="3" s="1"/>
  <c r="D87" i="3" s="1"/>
  <c r="D128" i="3" s="1"/>
  <c r="D169" i="3" s="1"/>
  <c r="D210" i="3" s="1"/>
  <c r="D251" i="3" s="1"/>
  <c r="D292" i="3" s="1"/>
  <c r="D333" i="3" s="1"/>
  <c r="D369" i="3" s="1"/>
  <c r="D9" i="3"/>
  <c r="D50" i="3" s="1"/>
  <c r="D86" i="3" s="1"/>
  <c r="D127" i="3" s="1"/>
  <c r="D168" i="3" s="1"/>
  <c r="D209" i="3" s="1"/>
  <c r="D250" i="3" s="1"/>
  <c r="D291" i="3" s="1"/>
  <c r="D332" i="3" s="1"/>
  <c r="D368" i="3" s="1"/>
  <c r="L5" i="3"/>
  <c r="M35" i="2"/>
  <c r="E34" i="2"/>
  <c r="G34" i="2" s="1"/>
  <c r="G30" i="2"/>
  <c r="G18" i="2"/>
  <c r="G16" i="2"/>
  <c r="F14" i="2"/>
  <c r="G25" i="2" s="1"/>
  <c r="G21" i="2" s="1"/>
  <c r="M13" i="2"/>
  <c r="M5" i="2"/>
  <c r="K36" i="1"/>
  <c r="H36" i="1"/>
  <c r="K35" i="1"/>
  <c r="H35" i="1"/>
  <c r="K28" i="1"/>
  <c r="H28" i="1"/>
  <c r="E26" i="1"/>
  <c r="G19" i="1"/>
  <c r="K18" i="1"/>
  <c r="H18" i="1"/>
  <c r="K17" i="1"/>
  <c r="H17" i="1"/>
  <c r="G12" i="1"/>
  <c r="H10" i="1"/>
  <c r="H27" i="1" s="1"/>
  <c r="H9" i="1"/>
  <c r="C3" i="1" s="1"/>
  <c r="H16" i="1" l="1"/>
  <c r="K16" i="1"/>
  <c r="AC49" i="4"/>
  <c r="F37" i="4" s="1"/>
  <c r="V47" i="4"/>
  <c r="H49" i="4"/>
  <c r="AC35" i="4"/>
  <c r="H37" i="4"/>
  <c r="V35" i="4"/>
  <c r="H47" i="4"/>
  <c r="H48" i="4"/>
  <c r="AC48" i="4"/>
  <c r="H36" i="4"/>
  <c r="V36" i="4"/>
  <c r="AC36" i="4"/>
  <c r="O21" i="4"/>
  <c r="O37" i="4"/>
  <c r="V37" i="4"/>
  <c r="AC37" i="4"/>
  <c r="O34" i="4"/>
  <c r="F35" i="4" s="1"/>
  <c r="V34" i="4"/>
  <c r="AC34" i="4"/>
  <c r="AC47" i="4"/>
  <c r="H34" i="4"/>
  <c r="O47" i="4"/>
  <c r="H35" i="4"/>
  <c r="O35" i="4"/>
  <c r="O48" i="4"/>
  <c r="G7" i="1"/>
  <c r="H34" i="1"/>
  <c r="K34" i="1"/>
  <c r="E35" i="2"/>
  <c r="G35" i="2" s="1"/>
  <c r="G33" i="2" s="1"/>
  <c r="H15" i="1"/>
  <c r="AM6" i="4"/>
  <c r="AN6" i="4" s="1"/>
  <c r="M23" i="2" s="1"/>
  <c r="M18" i="2" s="1"/>
  <c r="F15" i="2"/>
  <c r="M12" i="2" s="1"/>
  <c r="M10" i="2" s="1"/>
  <c r="D11" i="3"/>
  <c r="I9" i="3" s="1"/>
  <c r="H26" i="1"/>
  <c r="H33" i="1" s="1"/>
  <c r="E31" i="2"/>
  <c r="G31" i="2" s="1"/>
  <c r="G29" i="2" s="1"/>
  <c r="K10" i="1"/>
  <c r="K27" i="1"/>
  <c r="E27" i="1"/>
  <c r="AC20" i="4"/>
  <c r="V7" i="4"/>
  <c r="V20" i="4"/>
  <c r="O7" i="4"/>
  <c r="O20" i="4"/>
  <c r="H7" i="4"/>
  <c r="H20" i="4"/>
  <c r="AC9" i="4"/>
  <c r="AC19" i="4"/>
  <c r="V9" i="4"/>
  <c r="V19" i="4"/>
  <c r="F7" i="4" s="1"/>
  <c r="O9" i="4"/>
  <c r="O19" i="4"/>
  <c r="H9" i="4"/>
  <c r="H19" i="4"/>
  <c r="AC22" i="4"/>
  <c r="V22" i="4"/>
  <c r="F10" i="4" s="1"/>
  <c r="AC8" i="4"/>
  <c r="O22" i="4"/>
  <c r="V8" i="4"/>
  <c r="AC6" i="4"/>
  <c r="H22" i="4"/>
  <c r="O8" i="4"/>
  <c r="V6" i="4"/>
  <c r="AC21" i="4"/>
  <c r="H8" i="4"/>
  <c r="O6" i="4"/>
  <c r="V21" i="4"/>
  <c r="H6" i="4"/>
  <c r="K9" i="1"/>
  <c r="AC7" i="4"/>
  <c r="F8" i="4"/>
  <c r="O36" i="4"/>
  <c r="V48" i="4"/>
  <c r="F36" i="4" s="1"/>
  <c r="O49" i="4"/>
  <c r="V49" i="4"/>
  <c r="H50" i="4"/>
  <c r="O50" i="4"/>
  <c r="V50" i="4"/>
  <c r="C7" i="4" l="1"/>
  <c r="H12" i="1" s="1"/>
  <c r="C8" i="4"/>
  <c r="K11" i="1" s="1"/>
  <c r="K15" i="1" s="1"/>
  <c r="K21" i="1" s="1"/>
  <c r="F38" i="4"/>
  <c r="C10" i="4" s="1"/>
  <c r="K29" i="1" s="1"/>
  <c r="K30" i="1" s="1"/>
  <c r="K26" i="1" s="1"/>
  <c r="F9" i="4"/>
  <c r="C9" i="4" s="1"/>
  <c r="H29" i="1" s="1"/>
  <c r="H30" i="1" s="1"/>
  <c r="AK14" i="4"/>
  <c r="M34" i="2"/>
  <c r="D52" i="3"/>
  <c r="D88" i="3" s="1"/>
  <c r="D129" i="3" s="1"/>
  <c r="D170" i="3" s="1"/>
  <c r="D211" i="3" s="1"/>
  <c r="D252" i="3" s="1"/>
  <c r="D293" i="3" s="1"/>
  <c r="D334" i="3" s="1"/>
  <c r="D370" i="3" s="1"/>
  <c r="G9" i="3"/>
  <c r="H9" i="3" s="1"/>
  <c r="K9" i="3" s="1"/>
  <c r="I10" i="3" s="1"/>
  <c r="E29" i="1"/>
  <c r="H38" i="1"/>
  <c r="AO6" i="4"/>
  <c r="G28" i="2" s="1"/>
  <c r="G26" i="2" s="1"/>
  <c r="M30" i="2"/>
  <c r="H19" i="1" l="1"/>
  <c r="AK10" i="4"/>
  <c r="AM10" i="4" s="1"/>
  <c r="AK11" i="4"/>
  <c r="AM11" i="4" s="1"/>
  <c r="K33" i="1"/>
  <c r="K38" i="1" s="1"/>
  <c r="G10" i="3"/>
  <c r="H10" i="3" s="1"/>
  <c r="K10" i="3" s="1"/>
  <c r="G11" i="3" s="1"/>
  <c r="G36" i="2"/>
  <c r="M33" i="2" s="1"/>
  <c r="M36" i="2" s="1"/>
  <c r="E28" i="1"/>
  <c r="E32" i="1" s="1"/>
  <c r="H22" i="1" s="1"/>
  <c r="H21" i="1" l="1"/>
  <c r="D13" i="3"/>
  <c r="D54" i="3" s="1"/>
  <c r="D90" i="3" s="1"/>
  <c r="D131" i="3" s="1"/>
  <c r="D172" i="3" s="1"/>
  <c r="D213" i="3" s="1"/>
  <c r="D254" i="3" s="1"/>
  <c r="D295" i="3" s="1"/>
  <c r="D336" i="3" s="1"/>
  <c r="D372" i="3" s="1"/>
  <c r="I11" i="3"/>
  <c r="H11" i="3" s="1"/>
  <c r="K11" i="3" s="1"/>
  <c r="K39" i="1"/>
  <c r="K22" i="1"/>
  <c r="H39" i="1"/>
  <c r="J11" i="3" l="1"/>
  <c r="J9" i="3"/>
  <c r="J10" i="3"/>
  <c r="I12" i="3"/>
  <c r="G12" i="3"/>
  <c r="J12" i="3"/>
  <c r="H12" i="3" l="1"/>
  <c r="K12" i="3" s="1"/>
  <c r="J13" i="3" s="1"/>
  <c r="G13" i="3" l="1"/>
  <c r="I13" i="3"/>
  <c r="H13" i="3" l="1"/>
  <c r="K13" i="3" s="1"/>
  <c r="J14" i="3" s="1"/>
  <c r="I14" i="3" l="1"/>
  <c r="G14" i="3"/>
  <c r="H14" i="3" l="1"/>
  <c r="K14" i="3" s="1"/>
  <c r="G15" i="3" s="1"/>
  <c r="J15" i="3" l="1"/>
  <c r="I15" i="3"/>
  <c r="H15" i="3" s="1"/>
  <c r="K15" i="3" s="1"/>
  <c r="J16" i="3" s="1"/>
  <c r="G16" i="3" l="1"/>
  <c r="I16" i="3"/>
  <c r="H16" i="3" l="1"/>
  <c r="K16" i="3" s="1"/>
  <c r="G17" i="3" s="1"/>
  <c r="J17" i="3" l="1"/>
  <c r="I17" i="3"/>
  <c r="H17" i="3" s="1"/>
  <c r="K17" i="3" s="1"/>
  <c r="I18" i="3" s="1"/>
  <c r="J18" i="3" l="1"/>
  <c r="G18" i="3"/>
  <c r="H18" i="3" s="1"/>
  <c r="K18" i="3" s="1"/>
  <c r="J19" i="3" s="1"/>
  <c r="I19" i="3" l="1"/>
  <c r="G19" i="3"/>
  <c r="H19" i="3" l="1"/>
  <c r="K19" i="3" s="1"/>
  <c r="I20" i="3" s="1"/>
  <c r="J20" i="3" l="1"/>
  <c r="G20" i="3"/>
  <c r="H20" i="3" s="1"/>
  <c r="K20" i="3" s="1"/>
  <c r="J21" i="3" s="1"/>
  <c r="G21" i="3" l="1"/>
  <c r="I21" i="3"/>
  <c r="H21" i="3" l="1"/>
  <c r="K21" i="3" s="1"/>
  <c r="I22" i="3" s="1"/>
  <c r="J22" i="3" l="1"/>
  <c r="G22" i="3"/>
  <c r="H22" i="3" s="1"/>
  <c r="K22" i="3" s="1"/>
  <c r="G23" i="3" s="1"/>
  <c r="I23" i="3" l="1"/>
  <c r="H23" i="3" s="1"/>
  <c r="K23" i="3" s="1"/>
  <c r="I24" i="3" s="1"/>
  <c r="J23" i="3"/>
  <c r="J24" i="3" l="1"/>
  <c r="G24" i="3"/>
  <c r="H24" i="3" s="1"/>
  <c r="K24" i="3" s="1"/>
  <c r="J25" i="3" s="1"/>
  <c r="G25" i="3" l="1"/>
  <c r="I25" i="3"/>
  <c r="H25" i="3" l="1"/>
  <c r="K25" i="3" s="1"/>
  <c r="J26" i="3" s="1"/>
  <c r="G26" i="3" l="1"/>
  <c r="I26" i="3"/>
  <c r="H26" i="3" l="1"/>
  <c r="K26" i="3" s="1"/>
  <c r="I27" i="3" s="1"/>
  <c r="J27" i="3" l="1"/>
  <c r="G27" i="3"/>
  <c r="H27" i="3" s="1"/>
  <c r="K27" i="3" s="1"/>
  <c r="J28" i="3" s="1"/>
  <c r="I28" i="3" l="1"/>
  <c r="G28" i="3"/>
  <c r="H28" i="3" l="1"/>
  <c r="K28" i="3" s="1"/>
  <c r="J29" i="3" s="1"/>
  <c r="G29" i="3" l="1"/>
  <c r="I29" i="3"/>
  <c r="H29" i="3" l="1"/>
  <c r="K29" i="3" s="1"/>
  <c r="J30" i="3" s="1"/>
  <c r="G30" i="3" l="1"/>
  <c r="I30" i="3"/>
  <c r="H30" i="3" l="1"/>
  <c r="K30" i="3" s="1"/>
  <c r="I31" i="3" s="1"/>
  <c r="G31" i="3" l="1"/>
  <c r="H31" i="3" s="1"/>
  <c r="K31" i="3" s="1"/>
  <c r="J32" i="3" s="1"/>
  <c r="J31" i="3"/>
  <c r="G32" i="3" l="1"/>
  <c r="I32" i="3"/>
  <c r="H32" i="3" l="1"/>
  <c r="K32" i="3" s="1"/>
  <c r="J33" i="3" s="1"/>
  <c r="G33" i="3"/>
  <c r="I33" i="3" l="1"/>
  <c r="H33" i="3"/>
  <c r="K33" i="3" s="1"/>
  <c r="J34" i="3" s="1"/>
  <c r="I34" i="3" l="1"/>
  <c r="G34" i="3"/>
  <c r="H34" i="3" l="1"/>
  <c r="K34" i="3" s="1"/>
  <c r="I35" i="3" s="1"/>
  <c r="J35" i="3" l="1"/>
  <c r="G35" i="3"/>
  <c r="H35" i="3" s="1"/>
  <c r="K35" i="3" s="1"/>
  <c r="I36" i="3" s="1"/>
  <c r="G36" i="3" l="1"/>
  <c r="H36" i="3" s="1"/>
  <c r="K36" i="3" s="1"/>
  <c r="J36" i="3"/>
  <c r="I37" i="3" l="1"/>
  <c r="J37" i="3"/>
  <c r="G37" i="3"/>
  <c r="H37" i="3" l="1"/>
  <c r="K37" i="3" s="1"/>
  <c r="J38" i="3" s="1"/>
  <c r="G38" i="3" l="1"/>
  <c r="I38" i="3"/>
  <c r="H38" i="3" l="1"/>
  <c r="K38" i="3" s="1"/>
  <c r="I39" i="3" s="1"/>
  <c r="G39" i="3" l="1"/>
  <c r="H39" i="3" s="1"/>
  <c r="K39" i="3" s="1"/>
  <c r="J40" i="3" s="1"/>
  <c r="J39" i="3"/>
  <c r="G40" i="3" l="1"/>
  <c r="I40" i="3"/>
  <c r="H40" i="3" l="1"/>
  <c r="K40" i="3" s="1"/>
  <c r="G41" i="3" l="1"/>
  <c r="I41" i="3"/>
  <c r="J41" i="3"/>
  <c r="H41" i="3" l="1"/>
  <c r="K41" i="3" s="1"/>
  <c r="J42" i="3" s="1"/>
  <c r="G42" i="3" l="1"/>
  <c r="I42" i="3"/>
  <c r="H42" i="3" l="1"/>
  <c r="K42" i="3" s="1"/>
  <c r="G43" i="3" s="1"/>
  <c r="J43" i="3" l="1"/>
  <c r="I43" i="3"/>
  <c r="H43" i="3" s="1"/>
  <c r="K43" i="3" s="1"/>
  <c r="G44" i="3" s="1"/>
  <c r="I44" i="3" l="1"/>
  <c r="H44" i="3" s="1"/>
  <c r="K44" i="3" s="1"/>
  <c r="J44" i="3"/>
  <c r="J50" i="3" l="1"/>
  <c r="I50" i="3"/>
  <c r="G50" i="3"/>
  <c r="H50" i="3" l="1"/>
  <c r="K50" i="3" s="1"/>
  <c r="I51" i="3" s="1"/>
  <c r="J51" i="3" l="1"/>
  <c r="G51" i="3"/>
  <c r="H51" i="3" s="1"/>
  <c r="K51" i="3" s="1"/>
  <c r="I52" i="3" s="1"/>
  <c r="G52" i="3" l="1"/>
  <c r="H52" i="3" s="1"/>
  <c r="K52" i="3" s="1"/>
  <c r="I53" i="3" s="1"/>
  <c r="J52" i="3"/>
  <c r="J53" i="3" l="1"/>
  <c r="G53" i="3"/>
  <c r="H53" i="3" s="1"/>
  <c r="K53" i="3" s="1"/>
  <c r="J54" i="3" s="1"/>
  <c r="G54" i="3" l="1"/>
  <c r="I54" i="3"/>
  <c r="H54" i="3" l="1"/>
  <c r="K54" i="3" s="1"/>
  <c r="J55" i="3" l="1"/>
  <c r="I55" i="3"/>
  <c r="G55" i="3"/>
  <c r="H55" i="3" l="1"/>
  <c r="K55" i="3" s="1"/>
  <c r="I56" i="3" l="1"/>
  <c r="G56" i="3"/>
  <c r="J56" i="3"/>
  <c r="H56" i="3" l="1"/>
  <c r="K56" i="3" s="1"/>
  <c r="G57" i="3" s="1"/>
  <c r="I57" i="3" l="1"/>
  <c r="H57" i="3" s="1"/>
  <c r="K57" i="3" s="1"/>
  <c r="I58" i="3" s="1"/>
  <c r="J57" i="3"/>
  <c r="J58" i="3" l="1"/>
  <c r="G58" i="3"/>
  <c r="H58" i="3" s="1"/>
  <c r="K58" i="3" s="1"/>
  <c r="G59" i="3" l="1"/>
  <c r="J59" i="3"/>
  <c r="I59" i="3"/>
  <c r="H59" i="3" l="1"/>
  <c r="K59" i="3" s="1"/>
  <c r="J60" i="3" s="1"/>
  <c r="I60" i="3" l="1"/>
  <c r="G60" i="3"/>
  <c r="H60" i="3" l="1"/>
  <c r="K60" i="3" s="1"/>
  <c r="I61" i="3" s="1"/>
  <c r="G61" i="3" l="1"/>
  <c r="H61" i="3" s="1"/>
  <c r="K61" i="3" s="1"/>
  <c r="J61" i="3"/>
  <c r="J62" i="3" l="1"/>
  <c r="G62" i="3"/>
  <c r="I62" i="3"/>
  <c r="H62" i="3" l="1"/>
  <c r="K62" i="3" s="1"/>
  <c r="J63" i="3" l="1"/>
  <c r="I63" i="3"/>
  <c r="G63" i="3"/>
  <c r="H63" i="3" l="1"/>
  <c r="K63" i="3" s="1"/>
  <c r="J64" i="3" s="1"/>
  <c r="G64" i="3"/>
  <c r="I64" i="3"/>
  <c r="H64" i="3" l="1"/>
  <c r="K64" i="3" s="1"/>
  <c r="I65" i="3" l="1"/>
  <c r="J65" i="3"/>
  <c r="G65" i="3"/>
  <c r="H65" i="3" l="1"/>
  <c r="K65" i="3" s="1"/>
  <c r="G66" i="3" s="1"/>
  <c r="J66" i="3" l="1"/>
  <c r="I66" i="3"/>
  <c r="H66" i="3" s="1"/>
  <c r="K66" i="3" s="1"/>
  <c r="I67" i="3" l="1"/>
  <c r="G67" i="3"/>
  <c r="J67" i="3"/>
  <c r="H67" i="3" l="1"/>
  <c r="K67" i="3" s="1"/>
  <c r="I68" i="3" l="1"/>
  <c r="G68" i="3"/>
  <c r="J68" i="3"/>
  <c r="H68" i="3" l="1"/>
  <c r="K68" i="3" s="1"/>
  <c r="J69" i="3" l="1"/>
  <c r="G69" i="3"/>
  <c r="I69" i="3"/>
  <c r="H69" i="3" l="1"/>
  <c r="K69" i="3" s="1"/>
  <c r="J70" i="3" s="1"/>
  <c r="G70" i="3" l="1"/>
  <c r="I70" i="3"/>
  <c r="H70" i="3" l="1"/>
  <c r="K70" i="3" s="1"/>
  <c r="G71" i="3" s="1"/>
  <c r="I71" i="3" l="1"/>
  <c r="J71" i="3"/>
  <c r="H71" i="3"/>
  <c r="K71" i="3" s="1"/>
  <c r="J72" i="3" s="1"/>
  <c r="I72" i="3" l="1"/>
  <c r="G72" i="3"/>
  <c r="H72" i="3" l="1"/>
  <c r="K72" i="3" s="1"/>
  <c r="J73" i="3"/>
  <c r="G73" i="3"/>
  <c r="I73" i="3"/>
  <c r="H73" i="3" l="1"/>
  <c r="K73" i="3" s="1"/>
  <c r="I74" i="3" s="1"/>
  <c r="G74" i="3"/>
  <c r="J74" i="3"/>
  <c r="H74" i="3" l="1"/>
  <c r="K74" i="3" s="1"/>
  <c r="G75" i="3" s="1"/>
  <c r="I75" i="3"/>
  <c r="H75" i="3" s="1"/>
  <c r="K75" i="3" s="1"/>
  <c r="J75" i="3"/>
  <c r="J76" i="3" l="1"/>
  <c r="I76" i="3"/>
  <c r="G76" i="3"/>
  <c r="H76" i="3"/>
  <c r="K76" i="3" s="1"/>
  <c r="J77" i="3" l="1"/>
  <c r="G77" i="3"/>
  <c r="I77" i="3"/>
  <c r="H77" i="3" l="1"/>
  <c r="K77" i="3" s="1"/>
  <c r="J78" i="3" l="1"/>
  <c r="G78" i="3"/>
  <c r="I78" i="3"/>
  <c r="H78" i="3" l="1"/>
  <c r="K78" i="3" s="1"/>
  <c r="J79" i="3" l="1"/>
  <c r="G79" i="3"/>
  <c r="I79" i="3"/>
  <c r="H79" i="3" l="1"/>
  <c r="K79" i="3" s="1"/>
  <c r="J80" i="3" s="1"/>
  <c r="I80" i="3" l="1"/>
  <c r="G80" i="3"/>
  <c r="H80" i="3" l="1"/>
  <c r="K80" i="3" s="1"/>
  <c r="J81" i="3" s="1"/>
  <c r="I81" i="3"/>
  <c r="G81" i="3" l="1"/>
  <c r="H81" i="3" s="1"/>
  <c r="K81" i="3" s="1"/>
  <c r="I82" i="3" l="1"/>
  <c r="G82" i="3"/>
  <c r="J82" i="3"/>
  <c r="H82" i="3" l="1"/>
  <c r="K82" i="3" s="1"/>
  <c r="G83" i="3" s="1"/>
  <c r="J83" i="3" l="1"/>
  <c r="I83" i="3"/>
  <c r="H83" i="3" s="1"/>
  <c r="K83" i="3" s="1"/>
  <c r="J84" i="3" l="1"/>
  <c r="I84" i="3"/>
  <c r="G84" i="3"/>
  <c r="H84" i="3" l="1"/>
  <c r="K84" i="3" s="1"/>
  <c r="J85" i="3" s="1"/>
  <c r="I85" i="3"/>
  <c r="G85" i="3" l="1"/>
  <c r="H85" i="3" s="1"/>
  <c r="K85" i="3" s="1"/>
  <c r="I86" i="3" l="1"/>
  <c r="G86" i="3"/>
  <c r="J86" i="3"/>
  <c r="H86" i="3"/>
  <c r="K86" i="3" s="1"/>
  <c r="G87" i="3" s="1"/>
  <c r="I87" i="3" l="1"/>
  <c r="J87" i="3"/>
  <c r="H87" i="3"/>
  <c r="K87" i="3" s="1"/>
  <c r="J88" i="3" l="1"/>
  <c r="G88" i="3"/>
  <c r="I88" i="3"/>
  <c r="H88" i="3" l="1"/>
  <c r="K88" i="3" s="1"/>
  <c r="G89" i="3" s="1"/>
  <c r="I89" i="3" l="1"/>
  <c r="H89" i="3" s="1"/>
  <c r="K89" i="3" s="1"/>
  <c r="J89" i="3"/>
  <c r="G90" i="3" l="1"/>
  <c r="I90" i="3"/>
  <c r="J90" i="3"/>
  <c r="H90" i="3" l="1"/>
  <c r="K90" i="3" s="1"/>
  <c r="J91" i="3" s="1"/>
  <c r="I91" i="3" l="1"/>
  <c r="G91" i="3"/>
  <c r="H91" i="3" l="1"/>
  <c r="K91" i="3" s="1"/>
  <c r="J97" i="3" s="1"/>
  <c r="G97" i="3" l="1"/>
  <c r="I97" i="3"/>
  <c r="H97" i="3" l="1"/>
  <c r="K97" i="3" s="1"/>
  <c r="G98" i="3" s="1"/>
  <c r="I98" i="3" l="1"/>
  <c r="H98" i="3" s="1"/>
  <c r="K98" i="3" s="1"/>
  <c r="J98" i="3"/>
  <c r="G99" i="3" l="1"/>
  <c r="J99" i="3"/>
  <c r="I99" i="3"/>
  <c r="H99" i="3" s="1"/>
  <c r="K99" i="3" s="1"/>
  <c r="G100" i="3" s="1"/>
  <c r="J100" i="3" l="1"/>
  <c r="I100" i="3"/>
  <c r="H100" i="3" s="1"/>
  <c r="K100" i="3" s="1"/>
  <c r="J101" i="3" s="1"/>
  <c r="G101" i="3" l="1"/>
  <c r="I101" i="3"/>
  <c r="H101" i="3" l="1"/>
  <c r="K101" i="3" s="1"/>
  <c r="I102" i="3" l="1"/>
  <c r="J102" i="3"/>
  <c r="G102" i="3"/>
  <c r="H102" i="3" l="1"/>
  <c r="K102" i="3" s="1"/>
  <c r="I103" i="3" s="1"/>
  <c r="G103" i="3" l="1"/>
  <c r="H103" i="3" s="1"/>
  <c r="K103" i="3" s="1"/>
  <c r="J104" i="3" s="1"/>
  <c r="J103" i="3"/>
  <c r="G104" i="3" l="1"/>
  <c r="I104" i="3"/>
  <c r="H104" i="3" l="1"/>
  <c r="K104" i="3" s="1"/>
  <c r="J105" i="3" s="1"/>
  <c r="I105" i="3"/>
  <c r="G105" i="3"/>
  <c r="H105" i="3" l="1"/>
  <c r="K105" i="3" s="1"/>
  <c r="G106" i="3" s="1"/>
  <c r="J106" i="3" l="1"/>
  <c r="I106" i="3"/>
  <c r="H106" i="3" s="1"/>
  <c r="K106" i="3" s="1"/>
  <c r="J107" i="3" l="1"/>
  <c r="G107" i="3"/>
  <c r="I107" i="3"/>
  <c r="H107" i="3" l="1"/>
  <c r="K107" i="3" s="1"/>
  <c r="J108" i="3" l="1"/>
  <c r="I108" i="3"/>
  <c r="G108" i="3"/>
  <c r="H108" i="3" l="1"/>
  <c r="K108" i="3" s="1"/>
  <c r="I109" i="3" s="1"/>
  <c r="G109" i="3" l="1"/>
  <c r="H109" i="3" s="1"/>
  <c r="K109" i="3" s="1"/>
  <c r="J110" i="3" s="1"/>
  <c r="J109" i="3"/>
  <c r="I110" i="3" l="1"/>
  <c r="G110" i="3"/>
  <c r="H110" i="3" l="1"/>
  <c r="K110" i="3" s="1"/>
  <c r="J111" i="3" s="1"/>
  <c r="I111" i="3" l="1"/>
  <c r="G111" i="3"/>
  <c r="H111" i="3" l="1"/>
  <c r="K111" i="3" s="1"/>
  <c r="J112" i="3" s="1"/>
  <c r="I112" i="3" l="1"/>
  <c r="G112" i="3"/>
  <c r="H112" i="3" l="1"/>
  <c r="K112" i="3" s="1"/>
  <c r="J113" i="3" s="1"/>
  <c r="I113" i="3" l="1"/>
  <c r="G113" i="3"/>
  <c r="H113" i="3"/>
  <c r="K113" i="3" s="1"/>
  <c r="J114" i="3" l="1"/>
  <c r="G114" i="3"/>
  <c r="I114" i="3"/>
  <c r="H114" i="3" l="1"/>
  <c r="K114" i="3" s="1"/>
  <c r="I115" i="3" l="1"/>
  <c r="G115" i="3"/>
  <c r="J115" i="3"/>
  <c r="H115" i="3" l="1"/>
  <c r="K115" i="3" s="1"/>
  <c r="I116" i="3" s="1"/>
  <c r="J116" i="3" l="1"/>
  <c r="G116" i="3"/>
  <c r="H116" i="3" s="1"/>
  <c r="K116" i="3" s="1"/>
  <c r="G117" i="3" s="1"/>
  <c r="I117" i="3" l="1"/>
  <c r="H117" i="3" s="1"/>
  <c r="K117" i="3" s="1"/>
  <c r="J117" i="3"/>
  <c r="J118" i="3" l="1"/>
  <c r="G118" i="3"/>
  <c r="I118" i="3"/>
  <c r="H118" i="3" l="1"/>
  <c r="K118" i="3" s="1"/>
  <c r="J119" i="3" l="1"/>
  <c r="I119" i="3"/>
  <c r="G119" i="3"/>
  <c r="H119" i="3" l="1"/>
  <c r="K119" i="3" s="1"/>
  <c r="J120" i="3" s="1"/>
  <c r="G120" i="3"/>
  <c r="I120" i="3"/>
  <c r="H120" i="3" l="1"/>
  <c r="K120" i="3" s="1"/>
  <c r="J121" i="3" l="1"/>
  <c r="I121" i="3"/>
  <c r="G121" i="3"/>
  <c r="H121" i="3" l="1"/>
  <c r="K121" i="3" s="1"/>
  <c r="J122" i="3" s="1"/>
  <c r="G122" i="3" l="1"/>
  <c r="I122" i="3"/>
  <c r="H122" i="3" l="1"/>
  <c r="K122" i="3" s="1"/>
  <c r="J123" i="3" s="1"/>
  <c r="G123" i="3" l="1"/>
  <c r="I123" i="3"/>
  <c r="H123" i="3" l="1"/>
  <c r="K123" i="3" s="1"/>
  <c r="J124" i="3" s="1"/>
  <c r="G124" i="3"/>
  <c r="I124" i="3" l="1"/>
  <c r="H124" i="3"/>
  <c r="K124" i="3" s="1"/>
  <c r="I125" i="3" s="1"/>
  <c r="G125" i="3" l="1"/>
  <c r="H125" i="3" s="1"/>
  <c r="K125" i="3" s="1"/>
  <c r="I126" i="3" s="1"/>
  <c r="J125" i="3"/>
  <c r="G126" i="3" l="1"/>
  <c r="H126" i="3" s="1"/>
  <c r="K126" i="3" s="1"/>
  <c r="J127" i="3" s="1"/>
  <c r="J126" i="3"/>
  <c r="I127" i="3" l="1"/>
  <c r="G127" i="3"/>
  <c r="H127" i="3" l="1"/>
  <c r="K127" i="3" s="1"/>
  <c r="J128" i="3" s="1"/>
  <c r="G128" i="3" l="1"/>
  <c r="I128" i="3"/>
  <c r="H128" i="3" l="1"/>
  <c r="K128" i="3" s="1"/>
  <c r="I129" i="3" s="1"/>
  <c r="G129" i="3" l="1"/>
  <c r="H129" i="3" s="1"/>
  <c r="K129" i="3" s="1"/>
  <c r="J130" i="3" s="1"/>
  <c r="J129" i="3"/>
  <c r="I130" i="3" l="1"/>
  <c r="G130" i="3"/>
  <c r="H130" i="3" l="1"/>
  <c r="K130" i="3" s="1"/>
  <c r="G131" i="3" s="1"/>
  <c r="J131" i="3" l="1"/>
  <c r="I131" i="3"/>
  <c r="H131" i="3" s="1"/>
  <c r="K131" i="3" s="1"/>
  <c r="G132" i="3" s="1"/>
  <c r="J132" i="3" l="1"/>
  <c r="I132" i="3"/>
  <c r="H132" i="3" s="1"/>
  <c r="K132" i="3" s="1"/>
  <c r="J133" i="3" s="1"/>
  <c r="I133" i="3" l="1"/>
  <c r="G133" i="3"/>
  <c r="H133" i="3" l="1"/>
  <c r="K133" i="3" s="1"/>
  <c r="G134" i="3" s="1"/>
  <c r="J134" i="3" l="1"/>
  <c r="I134" i="3"/>
  <c r="H134" i="3" s="1"/>
  <c r="K134" i="3" s="1"/>
  <c r="J135" i="3" s="1"/>
  <c r="G135" i="3" l="1"/>
  <c r="I135" i="3"/>
  <c r="H135" i="3" l="1"/>
  <c r="K135" i="3" s="1"/>
  <c r="I136" i="3" s="1"/>
  <c r="J136" i="3" l="1"/>
  <c r="G136" i="3"/>
  <c r="H136" i="3" s="1"/>
  <c r="K136" i="3" s="1"/>
  <c r="J137" i="3" s="1"/>
  <c r="I137" i="3" l="1"/>
  <c r="G137" i="3"/>
  <c r="H137" i="3" s="1"/>
  <c r="K137" i="3" s="1"/>
  <c r="J138" i="3" l="1"/>
  <c r="G138" i="3"/>
  <c r="I138" i="3"/>
  <c r="H138" i="3" l="1"/>
  <c r="K138" i="3" s="1"/>
  <c r="J144" i="3" l="1"/>
  <c r="I144" i="3"/>
  <c r="G144" i="3"/>
  <c r="H144" i="3" l="1"/>
  <c r="K144" i="3" s="1"/>
  <c r="G145" i="3" s="1"/>
  <c r="I145" i="3" l="1"/>
  <c r="H145" i="3" s="1"/>
  <c r="K145" i="3" s="1"/>
  <c r="J145" i="3"/>
  <c r="J146" i="3" l="1"/>
  <c r="I146" i="3"/>
  <c r="G146" i="3"/>
  <c r="H146" i="3" l="1"/>
  <c r="K146" i="3" s="1"/>
  <c r="G147" i="3" s="1"/>
  <c r="J147" i="3" l="1"/>
  <c r="I147" i="3"/>
  <c r="H147" i="3" s="1"/>
  <c r="K147" i="3" s="1"/>
  <c r="I148" i="3" l="1"/>
  <c r="G148" i="3"/>
  <c r="J148" i="3"/>
  <c r="H148" i="3" l="1"/>
  <c r="K148" i="3" s="1"/>
  <c r="G149" i="3" s="1"/>
  <c r="I149" i="3" l="1"/>
  <c r="H149" i="3" s="1"/>
  <c r="K149" i="3" s="1"/>
  <c r="J149" i="3"/>
  <c r="G150" i="3" l="1"/>
  <c r="J150" i="3"/>
  <c r="I150" i="3"/>
  <c r="H150" i="3" s="1"/>
  <c r="K150" i="3" s="1"/>
  <c r="J151" i="3" s="1"/>
  <c r="I151" i="3" l="1"/>
  <c r="G151" i="3"/>
  <c r="H151" i="3" l="1"/>
  <c r="K151" i="3" s="1"/>
  <c r="I152" i="3" s="1"/>
  <c r="J152" i="3" l="1"/>
  <c r="G152" i="3"/>
  <c r="H152" i="3" s="1"/>
  <c r="K152" i="3" s="1"/>
  <c r="I153" i="3" s="1"/>
  <c r="G153" i="3" l="1"/>
  <c r="H153" i="3" s="1"/>
  <c r="K153" i="3" s="1"/>
  <c r="G154" i="3" s="1"/>
  <c r="J153" i="3"/>
  <c r="J154" i="3" l="1"/>
  <c r="I154" i="3"/>
  <c r="H154" i="3" s="1"/>
  <c r="K154" i="3" s="1"/>
  <c r="G155" i="3" l="1"/>
  <c r="I155" i="3"/>
  <c r="J155" i="3"/>
  <c r="H155" i="3" l="1"/>
  <c r="K155" i="3" s="1"/>
  <c r="J156" i="3" l="1"/>
  <c r="I156" i="3"/>
  <c r="G156" i="3"/>
  <c r="H156" i="3" l="1"/>
  <c r="K156" i="3" s="1"/>
  <c r="J157" i="3" s="1"/>
  <c r="I157" i="3" l="1"/>
  <c r="G157" i="3"/>
  <c r="H157" i="3" l="1"/>
  <c r="K157" i="3" s="1"/>
  <c r="G158" i="3" s="1"/>
  <c r="J158" i="3" l="1"/>
  <c r="I158" i="3"/>
  <c r="H158" i="3"/>
  <c r="K158" i="3" s="1"/>
  <c r="J159" i="3" l="1"/>
  <c r="G159" i="3"/>
  <c r="I159" i="3"/>
  <c r="H159" i="3" l="1"/>
  <c r="K159" i="3" s="1"/>
  <c r="J160" i="3" l="1"/>
  <c r="G160" i="3"/>
  <c r="I160" i="3"/>
  <c r="H160" i="3" l="1"/>
  <c r="K160" i="3" s="1"/>
  <c r="G161" i="3" l="1"/>
  <c r="J161" i="3"/>
  <c r="I161" i="3"/>
  <c r="H161" i="3" l="1"/>
  <c r="K161" i="3" s="1"/>
  <c r="I162" i="3" l="1"/>
  <c r="G162" i="3"/>
  <c r="J162" i="3"/>
  <c r="H162" i="3" l="1"/>
  <c r="K162" i="3" s="1"/>
  <c r="I163" i="3" s="1"/>
  <c r="G163" i="3" l="1"/>
  <c r="H163" i="3" s="1"/>
  <c r="K163" i="3" s="1"/>
  <c r="J163" i="3"/>
  <c r="G164" i="3" l="1"/>
  <c r="I164" i="3"/>
  <c r="J164" i="3"/>
  <c r="H164" i="3" l="1"/>
  <c r="K164" i="3" s="1"/>
  <c r="J165" i="3" l="1"/>
  <c r="I165" i="3"/>
  <c r="G165" i="3"/>
  <c r="H165" i="3" l="1"/>
  <c r="K165" i="3" s="1"/>
  <c r="G166" i="3" s="1"/>
  <c r="J166" i="3" l="1"/>
  <c r="I166" i="3"/>
  <c r="H166" i="3" s="1"/>
  <c r="K166" i="3" s="1"/>
  <c r="G167" i="3" l="1"/>
  <c r="I167" i="3"/>
  <c r="J167" i="3"/>
  <c r="H167" i="3" l="1"/>
  <c r="K167" i="3" s="1"/>
  <c r="I168" i="3" l="1"/>
  <c r="G168" i="3"/>
  <c r="J168" i="3"/>
  <c r="H168" i="3" l="1"/>
  <c r="K168" i="3" s="1"/>
  <c r="I169" i="3" s="1"/>
  <c r="G169" i="3" l="1"/>
  <c r="H169" i="3" s="1"/>
  <c r="K169" i="3" s="1"/>
  <c r="I170" i="3" s="1"/>
  <c r="J169" i="3"/>
  <c r="J170" i="3" l="1"/>
  <c r="G170" i="3"/>
  <c r="H170" i="3" s="1"/>
  <c r="K170" i="3" s="1"/>
  <c r="J171" i="3" s="1"/>
  <c r="G171" i="3" l="1"/>
  <c r="I171" i="3"/>
  <c r="H171" i="3" l="1"/>
  <c r="K171" i="3" s="1"/>
  <c r="J172" i="3" s="1"/>
  <c r="G172" i="3" l="1"/>
  <c r="I172" i="3"/>
  <c r="H172" i="3" l="1"/>
  <c r="K172" i="3" s="1"/>
  <c r="I173" i="3" s="1"/>
  <c r="J173" i="3" l="1"/>
  <c r="G173" i="3"/>
  <c r="H173" i="3" s="1"/>
  <c r="K173" i="3" s="1"/>
  <c r="G174" i="3" s="1"/>
  <c r="J174" i="3" l="1"/>
  <c r="I174" i="3"/>
  <c r="H174" i="3" s="1"/>
  <c r="K174" i="3" s="1"/>
  <c r="J175" i="3" s="1"/>
  <c r="I175" i="3"/>
  <c r="G175" i="3"/>
  <c r="H175" i="3" l="1"/>
  <c r="K175" i="3" s="1"/>
  <c r="G176" i="3" s="1"/>
  <c r="J176" i="3" l="1"/>
  <c r="I176" i="3"/>
  <c r="H176" i="3"/>
  <c r="K176" i="3" s="1"/>
  <c r="J177" i="3" l="1"/>
  <c r="G177" i="3"/>
  <c r="I177" i="3"/>
  <c r="H177" i="3" l="1"/>
  <c r="K177" i="3" s="1"/>
  <c r="J178" i="3" l="1"/>
  <c r="G178" i="3"/>
  <c r="I178" i="3"/>
  <c r="H178" i="3" l="1"/>
  <c r="K178" i="3" s="1"/>
  <c r="I179" i="3" l="1"/>
  <c r="J179" i="3"/>
  <c r="G179" i="3"/>
  <c r="H179" i="3" l="1"/>
  <c r="K179" i="3" s="1"/>
  <c r="I180" i="3" s="1"/>
  <c r="G180" i="3" l="1"/>
  <c r="H180" i="3" s="1"/>
  <c r="K180" i="3" s="1"/>
  <c r="I181" i="3" s="1"/>
  <c r="J180" i="3"/>
  <c r="J181" i="3" l="1"/>
  <c r="G181" i="3"/>
  <c r="H181" i="3" s="1"/>
  <c r="K181" i="3" s="1"/>
  <c r="I182" i="3" s="1"/>
  <c r="J182" i="3" l="1"/>
  <c r="G182" i="3"/>
  <c r="H182" i="3" s="1"/>
  <c r="K182" i="3" s="1"/>
  <c r="J183" i="3" s="1"/>
  <c r="I183" i="3" l="1"/>
  <c r="G183" i="3"/>
  <c r="H183" i="3" l="1"/>
  <c r="K183" i="3" s="1"/>
  <c r="G184" i="3" s="1"/>
  <c r="I184" i="3" l="1"/>
  <c r="H184" i="3" s="1"/>
  <c r="K184" i="3" s="1"/>
  <c r="J184" i="3"/>
  <c r="G185" i="3" l="1"/>
  <c r="I185" i="3"/>
  <c r="J185" i="3"/>
  <c r="H185" i="3" l="1"/>
  <c r="K185" i="3" s="1"/>
  <c r="I191" i="3" l="1"/>
  <c r="J191" i="3"/>
  <c r="G191" i="3"/>
  <c r="H191" i="3" l="1"/>
  <c r="K191" i="3" s="1"/>
  <c r="J192" i="3" s="1"/>
  <c r="G192" i="3" l="1"/>
  <c r="I192" i="3"/>
  <c r="H192" i="3"/>
  <c r="K192" i="3" s="1"/>
  <c r="I193" i="3" s="1"/>
  <c r="G193" i="3" l="1"/>
  <c r="H193" i="3" s="1"/>
  <c r="K193" i="3" s="1"/>
  <c r="G194" i="3" s="1"/>
  <c r="J193" i="3"/>
  <c r="I194" i="3" l="1"/>
  <c r="H194" i="3" s="1"/>
  <c r="K194" i="3" s="1"/>
  <c r="J194" i="3"/>
  <c r="J195" i="3" l="1"/>
  <c r="G195" i="3"/>
  <c r="I195" i="3"/>
  <c r="H195" i="3" l="1"/>
  <c r="K195" i="3" s="1"/>
  <c r="J196" i="3" l="1"/>
  <c r="I196" i="3"/>
  <c r="G196" i="3"/>
  <c r="H196" i="3" l="1"/>
  <c r="K196" i="3" s="1"/>
  <c r="J197" i="3" s="1"/>
  <c r="G197" i="3" l="1"/>
  <c r="I197" i="3"/>
  <c r="H197" i="3" l="1"/>
  <c r="K197" i="3" s="1"/>
  <c r="J198" i="3" s="1"/>
  <c r="I198" i="3"/>
  <c r="G198" i="3"/>
  <c r="H198" i="3" l="1"/>
  <c r="K198" i="3" s="1"/>
  <c r="G199" i="3" s="1"/>
  <c r="I199" i="3"/>
  <c r="J199" i="3"/>
  <c r="H199" i="3" l="1"/>
  <c r="K199" i="3" s="1"/>
  <c r="I200" i="3" l="1"/>
  <c r="G200" i="3"/>
  <c r="J200" i="3"/>
  <c r="H200" i="3" l="1"/>
  <c r="K200" i="3" s="1"/>
  <c r="I201" i="3" s="1"/>
  <c r="G201" i="3" l="1"/>
  <c r="H201" i="3" s="1"/>
  <c r="K201" i="3" s="1"/>
  <c r="J201" i="3"/>
  <c r="I202" i="3" l="1"/>
  <c r="G202" i="3"/>
  <c r="J202" i="3"/>
  <c r="H202" i="3" l="1"/>
  <c r="K202" i="3" s="1"/>
  <c r="G203" i="3" s="1"/>
  <c r="J203" i="3"/>
  <c r="I203" i="3" l="1"/>
  <c r="H203" i="3"/>
  <c r="K203" i="3" s="1"/>
  <c r="J204" i="3" s="1"/>
  <c r="I204" i="3" l="1"/>
  <c r="G204" i="3"/>
  <c r="H204" i="3" s="1"/>
  <c r="K204" i="3" s="1"/>
  <c r="G205" i="3" l="1"/>
  <c r="J205" i="3"/>
  <c r="I205" i="3"/>
  <c r="H205" i="3" l="1"/>
  <c r="K205" i="3" s="1"/>
  <c r="J206" i="3" l="1"/>
  <c r="G206" i="3"/>
  <c r="I206" i="3"/>
  <c r="H206" i="3" l="1"/>
  <c r="K206" i="3" s="1"/>
  <c r="J207" i="3" l="1"/>
  <c r="I207" i="3"/>
  <c r="G207" i="3"/>
  <c r="H207" i="3" l="1"/>
  <c r="K207" i="3" s="1"/>
  <c r="I208" i="3" s="1"/>
  <c r="G208" i="3" l="1"/>
  <c r="H208" i="3" s="1"/>
  <c r="K208" i="3" s="1"/>
  <c r="G209" i="3" s="1"/>
  <c r="J208" i="3"/>
  <c r="I209" i="3" l="1"/>
  <c r="H209" i="3" s="1"/>
  <c r="K209" i="3" s="1"/>
  <c r="J209" i="3"/>
  <c r="G210" i="3" l="1"/>
  <c r="J210" i="3"/>
  <c r="I210" i="3"/>
  <c r="H210" i="3" l="1"/>
  <c r="K210" i="3" s="1"/>
  <c r="I211" i="3" l="1"/>
  <c r="G211" i="3"/>
  <c r="J211" i="3"/>
  <c r="H211" i="3" l="1"/>
  <c r="K211" i="3" s="1"/>
  <c r="J212" i="3" s="1"/>
  <c r="I212" i="3" l="1"/>
  <c r="G212" i="3"/>
  <c r="H212" i="3" l="1"/>
  <c r="K212" i="3" s="1"/>
  <c r="J213" i="3" s="1"/>
  <c r="I213" i="3" l="1"/>
  <c r="G213" i="3"/>
  <c r="H213" i="3" s="1"/>
  <c r="K213" i="3" s="1"/>
  <c r="I214" i="3" l="1"/>
  <c r="J214" i="3"/>
  <c r="G214" i="3"/>
  <c r="H214" i="3" s="1"/>
  <c r="K214" i="3" s="1"/>
  <c r="I215" i="3" l="1"/>
  <c r="J215" i="3"/>
  <c r="G215" i="3"/>
  <c r="H215" i="3" l="1"/>
  <c r="K215" i="3" s="1"/>
  <c r="J216" i="3" s="1"/>
  <c r="I216" i="3" l="1"/>
  <c r="G216" i="3"/>
  <c r="H216" i="3" s="1"/>
  <c r="K216" i="3" s="1"/>
  <c r="J217" i="3" l="1"/>
  <c r="G217" i="3"/>
  <c r="I217" i="3"/>
  <c r="H217" i="3" l="1"/>
  <c r="K217" i="3" s="1"/>
  <c r="I218" i="3" l="1"/>
  <c r="J218" i="3"/>
  <c r="G218" i="3"/>
  <c r="H218" i="3" l="1"/>
  <c r="K218" i="3" s="1"/>
  <c r="G219" i="3" s="1"/>
  <c r="I219" i="3" l="1"/>
  <c r="H219" i="3" s="1"/>
  <c r="K219" i="3" s="1"/>
  <c r="J219" i="3"/>
  <c r="J220" i="3" l="1"/>
  <c r="G220" i="3"/>
  <c r="I220" i="3"/>
  <c r="H220" i="3" l="1"/>
  <c r="K220" i="3" s="1"/>
  <c r="G221" i="3" l="1"/>
  <c r="J221" i="3"/>
  <c r="I221" i="3"/>
  <c r="H221" i="3" l="1"/>
  <c r="K221" i="3" s="1"/>
  <c r="I222" i="3" l="1"/>
  <c r="G222" i="3"/>
  <c r="J222" i="3"/>
  <c r="H222" i="3" l="1"/>
  <c r="K222" i="3" s="1"/>
  <c r="I223" i="3" s="1"/>
  <c r="J223" i="3" l="1"/>
  <c r="G223" i="3"/>
  <c r="H223" i="3" s="1"/>
  <c r="K223" i="3" s="1"/>
  <c r="G224" i="3" s="1"/>
  <c r="J224" i="3" l="1"/>
  <c r="I224" i="3"/>
  <c r="H224" i="3" s="1"/>
  <c r="K224" i="3" s="1"/>
  <c r="J225" i="3" l="1"/>
  <c r="I225" i="3"/>
  <c r="G225" i="3"/>
  <c r="H225" i="3" s="1"/>
  <c r="K225" i="3" s="1"/>
  <c r="I226" i="3" l="1"/>
  <c r="G226" i="3"/>
  <c r="H226" i="3" s="1"/>
  <c r="K226" i="3" s="1"/>
  <c r="J226" i="3"/>
  <c r="J227" i="3" l="1"/>
  <c r="G227" i="3"/>
  <c r="I227" i="3"/>
  <c r="H227" i="3" l="1"/>
  <c r="K227" i="3" s="1"/>
  <c r="J228" i="3" l="1"/>
  <c r="G228" i="3"/>
  <c r="I228" i="3"/>
  <c r="H228" i="3" l="1"/>
  <c r="K228" i="3" s="1"/>
  <c r="J229" i="3" l="1"/>
  <c r="G229" i="3"/>
  <c r="I229" i="3"/>
  <c r="H229" i="3" l="1"/>
  <c r="K229" i="3" s="1"/>
  <c r="J230" i="3" l="1"/>
  <c r="I230" i="3"/>
  <c r="G230" i="3"/>
  <c r="H230" i="3" l="1"/>
  <c r="K230" i="3" s="1"/>
  <c r="G231" i="3" s="1"/>
  <c r="J231" i="3" l="1"/>
  <c r="I231" i="3"/>
  <c r="H231" i="3" s="1"/>
  <c r="K231" i="3" s="1"/>
  <c r="J232" i="3" l="1"/>
  <c r="I232" i="3"/>
  <c r="G232" i="3"/>
  <c r="H232" i="3" l="1"/>
  <c r="K232" i="3" s="1"/>
  <c r="I238" i="3" s="1"/>
  <c r="J238" i="3" l="1"/>
  <c r="G238" i="3"/>
  <c r="H238" i="3" s="1"/>
  <c r="K238" i="3" s="1"/>
  <c r="J239" i="3" s="1"/>
  <c r="I239" i="3" l="1"/>
  <c r="G239" i="3"/>
  <c r="H239" i="3" l="1"/>
  <c r="K239" i="3" s="1"/>
  <c r="J240" i="3" s="1"/>
  <c r="G240" i="3" l="1"/>
  <c r="I240" i="3"/>
  <c r="H240" i="3"/>
  <c r="K240" i="3" s="1"/>
  <c r="J241" i="3" s="1"/>
  <c r="I241" i="3" l="1"/>
  <c r="G241" i="3"/>
  <c r="H241" i="3" s="1"/>
  <c r="K241" i="3" s="1"/>
  <c r="G242" i="3" l="1"/>
  <c r="J242" i="3"/>
  <c r="I242" i="3"/>
  <c r="H242" i="3" l="1"/>
  <c r="K242" i="3" s="1"/>
  <c r="J243" i="3" l="1"/>
  <c r="G243" i="3"/>
  <c r="I243" i="3"/>
  <c r="H243" i="3" l="1"/>
  <c r="K243" i="3" s="1"/>
  <c r="G244" i="3" l="1"/>
  <c r="I244" i="3"/>
  <c r="J244" i="3"/>
  <c r="H244" i="3" l="1"/>
  <c r="K244" i="3" s="1"/>
  <c r="G245" i="3" l="1"/>
  <c r="I245" i="3"/>
  <c r="J245" i="3"/>
  <c r="H245" i="3" l="1"/>
  <c r="K245" i="3" s="1"/>
  <c r="J246" i="3" l="1"/>
  <c r="I246" i="3"/>
  <c r="G246" i="3"/>
  <c r="H246" i="3" l="1"/>
  <c r="K246" i="3" s="1"/>
  <c r="I247" i="3" s="1"/>
  <c r="J247" i="3" l="1"/>
  <c r="G247" i="3"/>
  <c r="H247" i="3" s="1"/>
  <c r="K247" i="3" s="1"/>
  <c r="I248" i="3" l="1"/>
  <c r="G248" i="3"/>
  <c r="J248" i="3"/>
  <c r="H248" i="3"/>
  <c r="K248" i="3" s="1"/>
  <c r="G249" i="3" s="1"/>
  <c r="J249" i="3" l="1"/>
  <c r="I249" i="3"/>
  <c r="H249" i="3" s="1"/>
  <c r="K249" i="3" s="1"/>
  <c r="I250" i="3" l="1"/>
  <c r="G250" i="3"/>
  <c r="J250" i="3"/>
  <c r="H250" i="3" l="1"/>
  <c r="K250" i="3" s="1"/>
  <c r="I251" i="3" s="1"/>
  <c r="G251" i="3" l="1"/>
  <c r="H251" i="3" s="1"/>
  <c r="K251" i="3" s="1"/>
  <c r="J252" i="3" s="1"/>
  <c r="J251" i="3"/>
  <c r="I252" i="3" l="1"/>
  <c r="G252" i="3"/>
  <c r="H252" i="3" s="1"/>
  <c r="K252" i="3" s="1"/>
  <c r="J253" i="3" l="1"/>
  <c r="G253" i="3"/>
  <c r="I253" i="3"/>
  <c r="H253" i="3" l="1"/>
  <c r="K253" i="3" s="1"/>
  <c r="I254" i="3" l="1"/>
  <c r="J254" i="3"/>
  <c r="G254" i="3"/>
  <c r="H254" i="3" s="1"/>
  <c r="K254" i="3" s="1"/>
  <c r="J255" i="3" l="1"/>
  <c r="I255" i="3"/>
  <c r="G255" i="3"/>
  <c r="H255" i="3" l="1"/>
  <c r="K255" i="3" s="1"/>
  <c r="G256" i="3" s="1"/>
  <c r="J256" i="3" l="1"/>
  <c r="I256" i="3"/>
  <c r="H256" i="3" s="1"/>
  <c r="K256" i="3" s="1"/>
  <c r="I257" i="3" l="1"/>
  <c r="J257" i="3"/>
  <c r="G257" i="3"/>
  <c r="H257" i="3" s="1"/>
  <c r="K257" i="3" s="1"/>
  <c r="I258" i="3" l="1"/>
  <c r="J258" i="3"/>
  <c r="G258" i="3"/>
  <c r="H258" i="3" s="1"/>
  <c r="K258" i="3" s="1"/>
  <c r="I259" i="3" l="1"/>
  <c r="G259" i="3"/>
  <c r="J259" i="3"/>
  <c r="H259" i="3" l="1"/>
  <c r="K259" i="3" s="1"/>
  <c r="G260" i="3" s="1"/>
  <c r="J260" i="3" l="1"/>
  <c r="I260" i="3"/>
  <c r="H260" i="3" s="1"/>
  <c r="K260" i="3" s="1"/>
  <c r="J261" i="3" s="1"/>
  <c r="I261" i="3" l="1"/>
  <c r="G261" i="3"/>
  <c r="H261" i="3" s="1"/>
  <c r="K261" i="3" s="1"/>
  <c r="G262" i="3" l="1"/>
  <c r="J262" i="3"/>
  <c r="I262" i="3"/>
  <c r="H262" i="3" l="1"/>
  <c r="K262" i="3" s="1"/>
  <c r="G263" i="3" l="1"/>
  <c r="J263" i="3"/>
  <c r="I263" i="3"/>
  <c r="H263" i="3" l="1"/>
  <c r="K263" i="3" s="1"/>
  <c r="J264" i="3" l="1"/>
  <c r="I264" i="3"/>
  <c r="G264" i="3"/>
  <c r="H264" i="3" l="1"/>
  <c r="K264" i="3" s="1"/>
  <c r="G265" i="3" s="1"/>
  <c r="J265" i="3" l="1"/>
  <c r="I265" i="3"/>
  <c r="H265" i="3" s="1"/>
  <c r="K265" i="3" s="1"/>
  <c r="G266" i="3" l="1"/>
  <c r="J266" i="3"/>
  <c r="I266" i="3"/>
  <c r="H266" i="3" l="1"/>
  <c r="K266" i="3" s="1"/>
  <c r="G267" i="3" l="1"/>
  <c r="I267" i="3"/>
  <c r="J267" i="3"/>
  <c r="H267" i="3" l="1"/>
  <c r="K267" i="3" s="1"/>
  <c r="G268" i="3" l="1"/>
  <c r="J268" i="3"/>
  <c r="I268" i="3"/>
  <c r="H268" i="3" l="1"/>
  <c r="K268" i="3" s="1"/>
  <c r="J269" i="3" l="1"/>
  <c r="G269" i="3"/>
  <c r="I269" i="3"/>
  <c r="H269" i="3" l="1"/>
  <c r="K269" i="3" s="1"/>
  <c r="I270" i="3" l="1"/>
  <c r="J270" i="3"/>
  <c r="G270" i="3"/>
  <c r="H270" i="3" l="1"/>
  <c r="K270" i="3" s="1"/>
  <c r="J271" i="3" s="1"/>
  <c r="G271" i="3" l="1"/>
  <c r="I271" i="3"/>
  <c r="H271" i="3" l="1"/>
  <c r="K271" i="3" s="1"/>
  <c r="I272" i="3" s="1"/>
  <c r="J272" i="3" l="1"/>
  <c r="G272" i="3"/>
  <c r="H272" i="3" s="1"/>
  <c r="K272" i="3" s="1"/>
  <c r="J273" i="3" s="1"/>
  <c r="I273" i="3" l="1"/>
  <c r="G273" i="3"/>
  <c r="H273" i="3" s="1"/>
  <c r="K273" i="3" s="1"/>
  <c r="J274" i="3" s="1"/>
  <c r="I274" i="3" l="1"/>
  <c r="G274" i="3"/>
  <c r="H274" i="3" l="1"/>
  <c r="K274" i="3" s="1"/>
  <c r="J275" i="3" s="1"/>
  <c r="I275" i="3" l="1"/>
  <c r="G275" i="3"/>
  <c r="H275" i="3" s="1"/>
  <c r="K275" i="3" s="1"/>
  <c r="J276" i="3" l="1"/>
  <c r="I276" i="3"/>
  <c r="G276" i="3"/>
  <c r="H276" i="3" l="1"/>
  <c r="K276" i="3" s="1"/>
  <c r="G277" i="3" s="1"/>
  <c r="J277" i="3" l="1"/>
  <c r="I277" i="3"/>
  <c r="H277" i="3" s="1"/>
  <c r="K277" i="3" s="1"/>
  <c r="J278" i="3" s="1"/>
  <c r="G278" i="3" l="1"/>
  <c r="I278" i="3"/>
  <c r="H278" i="3" s="1"/>
  <c r="K278" i="3" s="1"/>
  <c r="J279" i="3" s="1"/>
  <c r="I279" i="3" l="1"/>
  <c r="G279" i="3"/>
  <c r="H279" i="3" l="1"/>
  <c r="K279" i="3" s="1"/>
  <c r="J285" i="3" s="1"/>
  <c r="G285" i="3" l="1"/>
  <c r="I285" i="3"/>
  <c r="H285" i="3"/>
  <c r="K285" i="3" s="1"/>
  <c r="J286" i="3" s="1"/>
  <c r="G286" i="3" l="1"/>
  <c r="I286" i="3"/>
  <c r="H286" i="3" l="1"/>
  <c r="K286" i="3" s="1"/>
  <c r="J287" i="3" s="1"/>
  <c r="I287" i="3" l="1"/>
  <c r="G287" i="3"/>
  <c r="H287" i="3" s="1"/>
  <c r="K287" i="3" s="1"/>
  <c r="G288" i="3" l="1"/>
  <c r="J288" i="3"/>
  <c r="I288" i="3"/>
  <c r="H288" i="3"/>
  <c r="K288" i="3" s="1"/>
  <c r="J289" i="3" l="1"/>
  <c r="G289" i="3"/>
  <c r="I289" i="3"/>
  <c r="H289" i="3" l="1"/>
  <c r="K289" i="3" s="1"/>
  <c r="G290" i="3" l="1"/>
  <c r="J290" i="3"/>
  <c r="I290" i="3"/>
  <c r="H290" i="3" l="1"/>
  <c r="K290" i="3" s="1"/>
  <c r="J291" i="3" l="1"/>
  <c r="G291" i="3"/>
  <c r="I291" i="3"/>
  <c r="H291" i="3" l="1"/>
  <c r="K291" i="3" s="1"/>
  <c r="I292" i="3" l="1"/>
  <c r="J292" i="3"/>
  <c r="G292" i="3"/>
  <c r="H292" i="3" l="1"/>
  <c r="K292" i="3" s="1"/>
  <c r="J293" i="3" s="1"/>
  <c r="I293" i="3" l="1"/>
  <c r="G293" i="3"/>
  <c r="H293" i="3" l="1"/>
  <c r="K293" i="3" s="1"/>
  <c r="J294" i="3" s="1"/>
  <c r="I294" i="3" l="1"/>
  <c r="G294" i="3"/>
  <c r="H294" i="3"/>
  <c r="K294" i="3" s="1"/>
  <c r="G295" i="3" l="1"/>
  <c r="J295" i="3"/>
  <c r="I295" i="3"/>
  <c r="H295" i="3" l="1"/>
  <c r="K295" i="3" s="1"/>
  <c r="J296" i="3" l="1"/>
  <c r="I296" i="3"/>
  <c r="G296" i="3"/>
  <c r="H296" i="3" l="1"/>
  <c r="K296" i="3" s="1"/>
  <c r="J297" i="3" s="1"/>
  <c r="G297" i="3"/>
  <c r="I297" i="3" l="1"/>
  <c r="H297" i="3" s="1"/>
  <c r="K297" i="3" s="1"/>
  <c r="J298" i="3" s="1"/>
  <c r="G298" i="3" l="1"/>
  <c r="I298" i="3"/>
  <c r="H298" i="3" l="1"/>
  <c r="K298" i="3" s="1"/>
  <c r="J299" i="3" s="1"/>
  <c r="I299" i="3" l="1"/>
  <c r="G299" i="3"/>
  <c r="H299" i="3" s="1"/>
  <c r="K299" i="3" s="1"/>
  <c r="G300" i="3" s="1"/>
  <c r="I300" i="3" l="1"/>
  <c r="H300" i="3" s="1"/>
  <c r="K300" i="3" s="1"/>
  <c r="J300" i="3"/>
  <c r="G301" i="3" l="1"/>
  <c r="J301" i="3"/>
  <c r="I301" i="3"/>
  <c r="H301" i="3" l="1"/>
  <c r="K301" i="3" s="1"/>
  <c r="J302" i="3" l="1"/>
  <c r="G302" i="3"/>
  <c r="I302" i="3"/>
  <c r="H302" i="3" l="1"/>
  <c r="K302" i="3" s="1"/>
  <c r="J303" i="3" l="1"/>
  <c r="G303" i="3"/>
  <c r="I303" i="3"/>
  <c r="H303" i="3" l="1"/>
  <c r="K303" i="3" s="1"/>
  <c r="J304" i="3" l="1"/>
  <c r="I304" i="3"/>
  <c r="G304" i="3"/>
  <c r="H304" i="3" l="1"/>
  <c r="K304" i="3" s="1"/>
  <c r="I305" i="3" s="1"/>
  <c r="J305" i="3" l="1"/>
  <c r="G305" i="3"/>
  <c r="H305" i="3" s="1"/>
  <c r="K305" i="3" s="1"/>
  <c r="I306" i="3" s="1"/>
  <c r="J306" i="3" l="1"/>
  <c r="G306" i="3"/>
  <c r="H306" i="3" s="1"/>
  <c r="K306" i="3" s="1"/>
  <c r="G307" i="3" s="1"/>
  <c r="I307" i="3" l="1"/>
  <c r="H307" i="3" s="1"/>
  <c r="K307" i="3" s="1"/>
  <c r="J307" i="3"/>
  <c r="G308" i="3" l="1"/>
  <c r="J308" i="3"/>
  <c r="I308" i="3"/>
  <c r="H308" i="3" l="1"/>
  <c r="K308" i="3" s="1"/>
  <c r="G309" i="3" l="1"/>
  <c r="I309" i="3"/>
  <c r="J309" i="3"/>
  <c r="H309" i="3" l="1"/>
  <c r="K309" i="3" s="1"/>
  <c r="I310" i="3" l="1"/>
  <c r="J310" i="3"/>
  <c r="G310" i="3"/>
  <c r="H310" i="3" l="1"/>
  <c r="K310" i="3" s="1"/>
  <c r="I311" i="3" s="1"/>
  <c r="J311" i="3" l="1"/>
  <c r="G311" i="3"/>
  <c r="H311" i="3" s="1"/>
  <c r="K311" i="3" s="1"/>
  <c r="I312" i="3" s="1"/>
  <c r="J312" i="3" l="1"/>
  <c r="G312" i="3"/>
  <c r="H312" i="3" s="1"/>
  <c r="K312" i="3" s="1"/>
  <c r="I313" i="3" s="1"/>
  <c r="J313" i="3" l="1"/>
  <c r="G313" i="3"/>
  <c r="H313" i="3" s="1"/>
  <c r="K313" i="3" s="1"/>
  <c r="G314" i="3" l="1"/>
  <c r="I314" i="3"/>
  <c r="J314" i="3"/>
  <c r="H314" i="3" l="1"/>
  <c r="K314" i="3" s="1"/>
  <c r="G315" i="3" s="1"/>
  <c r="J315" i="3"/>
  <c r="I315" i="3"/>
  <c r="H315" i="3" l="1"/>
  <c r="K315" i="3" s="1"/>
  <c r="J316" i="3" l="1"/>
  <c r="G316" i="3"/>
  <c r="I316" i="3"/>
  <c r="H316" i="3" l="1"/>
  <c r="K316" i="3" s="1"/>
  <c r="G317" i="3" l="1"/>
  <c r="J317" i="3"/>
  <c r="I317" i="3"/>
  <c r="H317" i="3" l="1"/>
  <c r="K317" i="3" s="1"/>
  <c r="G318" i="3" l="1"/>
  <c r="I318" i="3"/>
  <c r="J318" i="3"/>
  <c r="H318" i="3" l="1"/>
  <c r="K318" i="3" s="1"/>
  <c r="J319" i="3" l="1"/>
  <c r="I319" i="3"/>
  <c r="G319" i="3"/>
  <c r="H319" i="3" l="1"/>
  <c r="K319" i="3" s="1"/>
  <c r="I320" i="3" s="1"/>
  <c r="J320" i="3" l="1"/>
  <c r="G320" i="3"/>
  <c r="H320" i="3" s="1"/>
  <c r="K320" i="3" s="1"/>
  <c r="G321" i="3" l="1"/>
  <c r="I321" i="3"/>
  <c r="J321" i="3"/>
  <c r="H321" i="3"/>
  <c r="K321" i="3" s="1"/>
  <c r="G322" i="3" l="1"/>
  <c r="J322" i="3"/>
  <c r="I322" i="3"/>
  <c r="H322" i="3" l="1"/>
  <c r="K322" i="3" s="1"/>
  <c r="J323" i="3" l="1"/>
  <c r="G323" i="3"/>
  <c r="I323" i="3"/>
  <c r="H323" i="3" l="1"/>
  <c r="K323" i="3" s="1"/>
  <c r="I324" i="3" l="1"/>
  <c r="J324" i="3"/>
  <c r="G324" i="3"/>
  <c r="H324" i="3" s="1"/>
  <c r="K324" i="3" s="1"/>
  <c r="I325" i="3" l="1"/>
  <c r="G325" i="3"/>
  <c r="J325" i="3"/>
  <c r="H325" i="3" l="1"/>
  <c r="K325" i="3" s="1"/>
  <c r="G326" i="3" s="1"/>
  <c r="I326" i="3" l="1"/>
  <c r="J326" i="3"/>
  <c r="H326" i="3"/>
  <c r="K326" i="3" s="1"/>
  <c r="J332" i="3" l="1"/>
  <c r="G332" i="3"/>
  <c r="I332" i="3"/>
  <c r="H332" i="3" l="1"/>
  <c r="K332" i="3" s="1"/>
  <c r="G333" i="3" l="1"/>
  <c r="J333" i="3"/>
  <c r="I333" i="3"/>
  <c r="H333" i="3" l="1"/>
  <c r="K333" i="3" s="1"/>
  <c r="J334" i="3" l="1"/>
  <c r="I334" i="3"/>
  <c r="G334" i="3"/>
  <c r="H334" i="3" l="1"/>
  <c r="K334" i="3" s="1"/>
  <c r="I335" i="3" s="1"/>
  <c r="J335" i="3" l="1"/>
  <c r="G335" i="3"/>
  <c r="H335" i="3"/>
  <c r="K335" i="3" s="1"/>
  <c r="I336" i="3" s="1"/>
  <c r="G336" i="3"/>
  <c r="J336" i="3" l="1"/>
  <c r="H336" i="3"/>
  <c r="K336" i="3" s="1"/>
  <c r="J337" i="3" s="1"/>
  <c r="G337" i="3" l="1"/>
  <c r="I337" i="3"/>
  <c r="H337" i="3" s="1"/>
  <c r="K337" i="3" s="1"/>
  <c r="I338" i="3" l="1"/>
  <c r="G338" i="3"/>
  <c r="J338" i="3"/>
  <c r="H338" i="3"/>
  <c r="K338" i="3" s="1"/>
  <c r="J339" i="3" s="1"/>
  <c r="I339" i="3" l="1"/>
  <c r="G339" i="3"/>
  <c r="H339" i="3" s="1"/>
  <c r="K339" i="3" s="1"/>
  <c r="I340" i="3" l="1"/>
  <c r="G340" i="3"/>
  <c r="J340" i="3"/>
  <c r="H340" i="3" l="1"/>
  <c r="K340" i="3" s="1"/>
  <c r="G341" i="3"/>
  <c r="J341" i="3"/>
  <c r="I341" i="3"/>
  <c r="H341" i="3" l="1"/>
  <c r="K341" i="3" s="1"/>
  <c r="J342" i="3" l="1"/>
  <c r="G342" i="3"/>
  <c r="I342" i="3"/>
  <c r="H342" i="3" l="1"/>
  <c r="K342" i="3" s="1"/>
  <c r="I343" i="3" l="1"/>
  <c r="G343" i="3"/>
  <c r="J343" i="3"/>
  <c r="H343" i="3" l="1"/>
  <c r="K343" i="3" s="1"/>
  <c r="I344" i="3" s="1"/>
  <c r="G344" i="3" l="1"/>
  <c r="H344" i="3" s="1"/>
  <c r="K344" i="3" s="1"/>
  <c r="G345" i="3" s="1"/>
  <c r="J344" i="3"/>
  <c r="J345" i="3" l="1"/>
  <c r="I345" i="3"/>
  <c r="H345" i="3" s="1"/>
  <c r="K345" i="3" s="1"/>
  <c r="I346" i="3" l="1"/>
  <c r="G346" i="3"/>
  <c r="H346" i="3" s="1"/>
  <c r="K346" i="3" s="1"/>
  <c r="J346" i="3"/>
  <c r="J347" i="3" l="1"/>
  <c r="I347" i="3"/>
  <c r="G347" i="3"/>
  <c r="H347" i="3" l="1"/>
  <c r="K347" i="3" s="1"/>
  <c r="J348" i="3" s="1"/>
  <c r="G348" i="3" l="1"/>
  <c r="I348" i="3"/>
  <c r="H348" i="3" l="1"/>
  <c r="K348" i="3" s="1"/>
  <c r="J349" i="3" s="1"/>
  <c r="G349" i="3" l="1"/>
  <c r="I349" i="3"/>
  <c r="H349" i="3" l="1"/>
  <c r="K349" i="3" s="1"/>
  <c r="I350" i="3" s="1"/>
  <c r="J350" i="3" l="1"/>
  <c r="G350" i="3"/>
  <c r="H350" i="3" s="1"/>
  <c r="K350" i="3" s="1"/>
  <c r="I351" i="3"/>
  <c r="J351" i="3" l="1"/>
  <c r="G351" i="3"/>
  <c r="H351" i="3" s="1"/>
  <c r="K351" i="3" s="1"/>
  <c r="G352" i="3" l="1"/>
  <c r="I352" i="3"/>
  <c r="J352" i="3"/>
  <c r="H352" i="3" l="1"/>
  <c r="K352" i="3" s="1"/>
  <c r="G353" i="3" l="1"/>
  <c r="I353" i="3"/>
  <c r="J353" i="3"/>
  <c r="H353" i="3" l="1"/>
  <c r="K353" i="3" s="1"/>
  <c r="J354" i="3" l="1"/>
  <c r="I354" i="3"/>
  <c r="G354" i="3"/>
  <c r="H354" i="3" s="1"/>
  <c r="K354" i="3" s="1"/>
  <c r="J355" i="3" s="1"/>
  <c r="G355" i="3"/>
  <c r="I355" i="3" l="1"/>
  <c r="H355" i="3"/>
  <c r="K355" i="3" s="1"/>
  <c r="I356" i="3" s="1"/>
  <c r="G356" i="3"/>
  <c r="H356" i="3" l="1"/>
  <c r="K356" i="3" s="1"/>
  <c r="J356" i="3"/>
  <c r="G357" i="3"/>
  <c r="I357" i="3"/>
  <c r="J357" i="3"/>
  <c r="H357" i="3" l="1"/>
  <c r="K357" i="3" s="1"/>
  <c r="J358" i="3" l="1"/>
  <c r="G358" i="3"/>
  <c r="I358" i="3"/>
  <c r="H358" i="3" l="1"/>
  <c r="K358" i="3" s="1"/>
  <c r="J359" i="3" l="1"/>
  <c r="G359" i="3"/>
  <c r="I359" i="3"/>
  <c r="H359" i="3" l="1"/>
  <c r="K359" i="3" s="1"/>
  <c r="G360" i="3" l="1"/>
  <c r="J360" i="3"/>
  <c r="I360" i="3"/>
  <c r="H360" i="3" l="1"/>
  <c r="K360" i="3" s="1"/>
  <c r="J361" i="3" l="1"/>
  <c r="I361" i="3"/>
  <c r="G361" i="3"/>
  <c r="H361" i="3" l="1"/>
  <c r="K361" i="3" s="1"/>
  <c r="J362" i="3" s="1"/>
  <c r="I362" i="3" l="1"/>
  <c r="G362" i="3"/>
  <c r="H362" i="3" s="1"/>
  <c r="K362" i="3" s="1"/>
  <c r="G363" i="3" l="1"/>
  <c r="J363" i="3"/>
  <c r="I363" i="3"/>
  <c r="H363" i="3" l="1"/>
  <c r="K363" i="3" s="1"/>
  <c r="I364" i="3" l="1"/>
  <c r="G364" i="3"/>
  <c r="H364" i="3" s="1"/>
  <c r="K364" i="3" s="1"/>
  <c r="J364" i="3"/>
  <c r="I365" i="3" l="1"/>
  <c r="J365" i="3"/>
  <c r="G365" i="3"/>
  <c r="H365" i="3" l="1"/>
  <c r="K365" i="3" s="1"/>
  <c r="J366" i="3" s="1"/>
  <c r="G366" i="3"/>
  <c r="I366" i="3"/>
  <c r="H366" i="3" l="1"/>
  <c r="K366" i="3" s="1"/>
  <c r="J367" i="3" l="1"/>
  <c r="G367" i="3"/>
  <c r="I367" i="3"/>
  <c r="H367" i="3" l="1"/>
  <c r="K367" i="3" s="1"/>
  <c r="I368" i="3" l="1"/>
  <c r="J368" i="3"/>
  <c r="G368" i="3"/>
  <c r="H368" i="3" s="1"/>
  <c r="K368" i="3" s="1"/>
  <c r="J369" i="3" l="1"/>
  <c r="G369" i="3"/>
  <c r="I369" i="3"/>
  <c r="H369" i="3" l="1"/>
  <c r="K369" i="3" s="1"/>
  <c r="I370" i="3" l="1"/>
  <c r="J370" i="3"/>
  <c r="G370" i="3"/>
  <c r="H370" i="3" s="1"/>
  <c r="K370" i="3" s="1"/>
  <c r="J371" i="3" l="1"/>
  <c r="G371" i="3"/>
  <c r="I371" i="3"/>
  <c r="H371" i="3" l="1"/>
  <c r="K371" i="3" s="1"/>
  <c r="I372" i="3" l="1"/>
  <c r="G372" i="3"/>
  <c r="J372" i="3"/>
  <c r="H372" i="3" l="1"/>
  <c r="K372" i="3" s="1"/>
  <c r="J373" i="3" s="1"/>
  <c r="G373" i="3"/>
  <c r="I373" i="3" l="1"/>
  <c r="H373" i="3"/>
  <c r="K373" i="3" s="1"/>
  <c r="J379" i="3" s="1"/>
  <c r="I379" i="3" l="1"/>
  <c r="G379" i="3"/>
  <c r="H379" i="3" s="1"/>
  <c r="K379" i="3" s="1"/>
  <c r="G380" i="3" l="1"/>
  <c r="J380" i="3"/>
  <c r="I380" i="3"/>
  <c r="H380" i="3" l="1"/>
  <c r="K380" i="3" s="1"/>
  <c r="I381" i="3" l="1"/>
  <c r="J381" i="3"/>
  <c r="G381" i="3"/>
  <c r="H381" i="3" s="1"/>
  <c r="K381" i="3" s="1"/>
  <c r="J382" i="3" l="1"/>
  <c r="G382" i="3"/>
  <c r="I382" i="3"/>
  <c r="H382" i="3" l="1"/>
  <c r="K382" i="3" s="1"/>
  <c r="I383" i="3" l="1"/>
  <c r="J383" i="3"/>
  <c r="G383" i="3"/>
  <c r="H383" i="3" s="1"/>
  <c r="K383" i="3" s="1"/>
  <c r="J384" i="3" l="1"/>
  <c r="I384" i="3"/>
  <c r="G384" i="3"/>
  <c r="H384" i="3" l="1"/>
  <c r="K384" i="3" s="1"/>
  <c r="G385" i="3" s="1"/>
  <c r="I385" i="3" l="1"/>
  <c r="J385" i="3"/>
  <c r="H385" i="3"/>
  <c r="K385" i="3" s="1"/>
  <c r="J386" i="3" l="1"/>
  <c r="G386" i="3"/>
  <c r="I386" i="3"/>
  <c r="H386" i="3" l="1"/>
  <c r="K386" i="3" s="1"/>
  <c r="J387" i="3" l="1"/>
  <c r="I387" i="3"/>
  <c r="G387" i="3"/>
  <c r="H387" i="3" l="1"/>
  <c r="K387" i="3" s="1"/>
  <c r="I388" i="3" s="1"/>
  <c r="G388" i="3" l="1"/>
  <c r="J388" i="3"/>
  <c r="H388" i="3"/>
  <c r="K388" i="3" s="1"/>
  <c r="J389" i="3" s="1"/>
  <c r="I389" i="3" l="1"/>
  <c r="G389" i="3"/>
  <c r="H389" i="3" l="1"/>
  <c r="K389" i="3" s="1"/>
  <c r="G390" i="3" s="1"/>
  <c r="I390" i="3" l="1"/>
  <c r="J390" i="3"/>
  <c r="H390" i="3"/>
  <c r="K390" i="3" s="1"/>
  <c r="J391" i="3" l="1"/>
  <c r="G391" i="3"/>
  <c r="I391" i="3"/>
  <c r="H391" i="3" l="1"/>
  <c r="K391" i="3" s="1"/>
  <c r="J392" i="3" l="1"/>
  <c r="G392" i="3"/>
  <c r="I392" i="3"/>
  <c r="H392" i="3" l="1"/>
  <c r="K392" i="3" s="1"/>
  <c r="G393" i="3" l="1"/>
  <c r="I393" i="3"/>
  <c r="J393" i="3"/>
  <c r="H393" i="3" l="1"/>
  <c r="K393" i="3" s="1"/>
  <c r="I394" i="3" l="1"/>
  <c r="J394" i="3"/>
  <c r="G394" i="3"/>
  <c r="H394" i="3" s="1"/>
  <c r="K394" i="3" s="1"/>
  <c r="I395" i="3" l="1"/>
  <c r="G395" i="3"/>
  <c r="J395" i="3"/>
  <c r="H395" i="3" l="1"/>
  <c r="K395" i="3" s="1"/>
  <c r="J396" i="3" s="1"/>
  <c r="I396" i="3"/>
  <c r="G396" i="3" l="1"/>
  <c r="H396" i="3" s="1"/>
  <c r="K396" i="3" s="1"/>
  <c r="J397" i="3" l="1"/>
  <c r="G397" i="3"/>
  <c r="I397" i="3"/>
  <c r="H397" i="3" l="1"/>
  <c r="K397" i="3" s="1"/>
  <c r="J398" i="3" l="1"/>
  <c r="I398" i="3"/>
  <c r="G398" i="3"/>
  <c r="H398" i="3" l="1"/>
  <c r="K398" i="3" s="1"/>
  <c r="I399" i="3" s="1"/>
  <c r="J399" i="3" l="1"/>
  <c r="G399" i="3"/>
  <c r="H399" i="3"/>
  <c r="K399" i="3" s="1"/>
  <c r="J400" i="3" s="1"/>
  <c r="I400" i="3" l="1"/>
  <c r="G400" i="3"/>
  <c r="H400" i="3" l="1"/>
  <c r="K400" i="3" s="1"/>
  <c r="J401" i="3" s="1"/>
  <c r="G401" i="3" l="1"/>
  <c r="I401" i="3"/>
  <c r="H401" i="3"/>
  <c r="K401" i="3" s="1"/>
  <c r="I402" i="3" s="1"/>
  <c r="G402" i="3" l="1"/>
  <c r="J402" i="3"/>
  <c r="H402" i="3"/>
  <c r="K402" i="3" s="1"/>
  <c r="J403" i="3" s="1"/>
  <c r="I403" i="3"/>
  <c r="G403" i="3" l="1"/>
  <c r="H403" i="3"/>
  <c r="K403" i="3" s="1"/>
  <c r="J404" i="3" l="1"/>
  <c r="G404" i="3"/>
  <c r="I404" i="3"/>
  <c r="H404" i="3" l="1"/>
  <c r="K404" i="3" s="1"/>
  <c r="G405" i="3" l="1"/>
  <c r="J405" i="3"/>
  <c r="I405" i="3"/>
  <c r="H405" i="3" l="1"/>
  <c r="K405" i="3" s="1"/>
  <c r="J406" i="3" l="1"/>
  <c r="G406" i="3"/>
  <c r="I406" i="3"/>
  <c r="H406" i="3" l="1"/>
  <c r="K406" i="3" s="1"/>
  <c r="J407" i="3" l="1"/>
  <c r="G407" i="3"/>
  <c r="I407" i="3"/>
  <c r="H407" i="3" l="1"/>
  <c r="K407" i="3" s="1"/>
  <c r="J408" i="3" l="1"/>
  <c r="AK15" i="4" s="1"/>
  <c r="AK16" i="4" s="1"/>
  <c r="AK17" i="4" s="1"/>
  <c r="G17" i="2" s="1"/>
  <c r="I408" i="3"/>
  <c r="G408" i="3"/>
  <c r="H408" i="3" l="1"/>
  <c r="K408" i="3" s="1"/>
</calcChain>
</file>

<file path=xl/sharedStrings.xml><?xml version="1.0" encoding="utf-8"?>
<sst xmlns="http://schemas.openxmlformats.org/spreadsheetml/2006/main" count="578" uniqueCount="173">
  <si>
    <t>This sheet has been prepared for:</t>
  </si>
  <si>
    <t>Proposed Property Details</t>
  </si>
  <si>
    <t>"No PMI"</t>
  </si>
  <si>
    <t>Purchase Price</t>
  </si>
  <si>
    <t>Loan Amount</t>
  </si>
  <si>
    <t>Property Taxes (annual)</t>
  </si>
  <si>
    <t>Down Payment</t>
  </si>
  <si>
    <t>Homowners Ins. (annual)</t>
  </si>
  <si>
    <t>Interest Rate</t>
  </si>
  <si>
    <t>Client Details</t>
  </si>
  <si>
    <t>Monthly Payment</t>
  </si>
  <si>
    <t>Principal &amp; Interest</t>
  </si>
  <si>
    <t>Fico Score</t>
  </si>
  <si>
    <t>Property Taxes</t>
  </si>
  <si>
    <t># of Borrowers</t>
  </si>
  <si>
    <t>Multi</t>
  </si>
  <si>
    <t>Homeowners Ins.</t>
  </si>
  <si>
    <t>First Time HomeBuyer</t>
  </si>
  <si>
    <t>HOA/Maint</t>
  </si>
  <si>
    <t>HomePossible/HomeReady</t>
  </si>
  <si>
    <t>Your Monthly Budget</t>
  </si>
  <si>
    <t>Your Max Allowable Payment</t>
  </si>
  <si>
    <t>Total Expense</t>
  </si>
  <si>
    <t>Total Cash to Close</t>
  </si>
  <si>
    <t>Cash to Close w/ monthly PMI</t>
  </si>
  <si>
    <t>Single Premium PMI - Paid in Full</t>
  </si>
  <si>
    <t>Single Premium PMI - Financed</t>
  </si>
  <si>
    <t>Down Paypayment</t>
  </si>
  <si>
    <t>Closing Costs</t>
  </si>
  <si>
    <t>Prepaid Items/Escrows</t>
  </si>
  <si>
    <t>PMI Rate</t>
  </si>
  <si>
    <t>Concessions/Credits</t>
  </si>
  <si>
    <t>PMI Payment</t>
  </si>
  <si>
    <t>Key:</t>
  </si>
  <si>
    <t>Input fields</t>
  </si>
  <si>
    <t>Locked fields</t>
  </si>
  <si>
    <t>Payment Under Budget</t>
  </si>
  <si>
    <t>Over Budget, Can Qualify</t>
  </si>
  <si>
    <t>Cannot Qualify</t>
  </si>
  <si>
    <t xml:space="preserve">     Dominick Russo</t>
  </si>
  <si>
    <t>Notes to Client:</t>
  </si>
  <si>
    <t xml:space="preserve">          Cell: (201) 317-7900</t>
  </si>
  <si>
    <t xml:space="preserve">    Loan Consultant</t>
  </si>
  <si>
    <t>NMLS #858889</t>
  </si>
  <si>
    <t>Closing Cost Estimate</t>
  </si>
  <si>
    <t>Your actual rate, payment, and costs could be higher.  Get an official Loan Estimate before choosing a loan.</t>
  </si>
  <si>
    <t>Proposed Loan Terms</t>
  </si>
  <si>
    <t>Loan Costs</t>
  </si>
  <si>
    <t>Loan Purpose</t>
  </si>
  <si>
    <t>Purchase</t>
  </si>
  <si>
    <t>Origination Charges:</t>
  </si>
  <si>
    <t>Total:</t>
  </si>
  <si>
    <t>Occupancy</t>
  </si>
  <si>
    <t>Primary</t>
  </si>
  <si>
    <t>Commitment Fee</t>
  </si>
  <si>
    <t>Loan/Amortization/Term</t>
  </si>
  <si>
    <t>30 year Fixed</t>
  </si>
  <si>
    <t>Discount Points</t>
  </si>
  <si>
    <t>Services You Cannot Shop For:</t>
  </si>
  <si>
    <t>Appraisal Fee</t>
  </si>
  <si>
    <t>Credit Report Fee</t>
  </si>
  <si>
    <t>Flood Certification</t>
  </si>
  <si>
    <t>APR</t>
  </si>
  <si>
    <t>Tax Service Fee</t>
  </si>
  <si>
    <t>Loan to Value</t>
  </si>
  <si>
    <t>Services You Can Shop For:</t>
  </si>
  <si>
    <t>Title - Closing Protection Letter</t>
  </si>
  <si>
    <t>Other Costs and Prepaid Items</t>
  </si>
  <si>
    <t>Title - Settlement Fee</t>
  </si>
  <si>
    <t>Taxes and Govt. Fees:</t>
  </si>
  <si>
    <t>Title - Courier Fee</t>
  </si>
  <si>
    <t>Govt. Recording Fee - Deed</t>
  </si>
  <si>
    <t>Title - E Doc Title Fee</t>
  </si>
  <si>
    <t>Govt. Recording Fee - Mortgage</t>
  </si>
  <si>
    <t>Title - Lender Title Insurance</t>
  </si>
  <si>
    <t>Govt. Recording Fees</t>
  </si>
  <si>
    <t>Title - Notary Fees</t>
  </si>
  <si>
    <t>NJ Mansion Tax</t>
  </si>
  <si>
    <t>Title - Recording Service Fee</t>
  </si>
  <si>
    <t>Other Fees:</t>
  </si>
  <si>
    <t>Title - Title Endorsement</t>
  </si>
  <si>
    <t>Borrower Attorney Fee</t>
  </si>
  <si>
    <t>Title - Title Examination</t>
  </si>
  <si>
    <t>Title - Owners Title Insurance</t>
  </si>
  <si>
    <t>Title - Title Search</t>
  </si>
  <si>
    <t>Prepaid Items:</t>
  </si>
  <si>
    <t>Title - Wire Transfer Fee</t>
  </si>
  <si>
    <t>Homeowners Insurance Premium</t>
  </si>
  <si>
    <t>Total Loan Costs:</t>
  </si>
  <si>
    <t xml:space="preserve">PrePaid Interest - 15 days at </t>
  </si>
  <si>
    <t>Property Taxes - 2 months at</t>
  </si>
  <si>
    <t>Calculating Cash to Close</t>
  </si>
  <si>
    <t>Initial Escrow Collection:</t>
  </si>
  <si>
    <t>Total Closing Costs</t>
  </si>
  <si>
    <t>Property Taxes - 3 months at</t>
  </si>
  <si>
    <t>Seller's Concessions/Credits</t>
  </si>
  <si>
    <t>Total Other Costs and Prepaid Items:</t>
  </si>
  <si>
    <t>Estimated Cash to Close</t>
  </si>
  <si>
    <t>Dominick Russo</t>
  </si>
  <si>
    <t>Loan Consultant</t>
  </si>
  <si>
    <t>NMLS # 858889</t>
  </si>
  <si>
    <t>Cell: (201) 317-7900</t>
  </si>
  <si>
    <t>Amortization Schedule</t>
  </si>
  <si>
    <t>Month</t>
  </si>
  <si>
    <t>Payment</t>
  </si>
  <si>
    <t>Principal</t>
  </si>
  <si>
    <t>Interest</t>
  </si>
  <si>
    <t xml:space="preserve">PMI </t>
  </si>
  <si>
    <t>Balance</t>
  </si>
  <si>
    <t>PrePayment</t>
  </si>
  <si>
    <t>Mort. Rate</t>
  </si>
  <si>
    <t>Present Value</t>
  </si>
  <si>
    <t>Length</t>
  </si>
  <si>
    <t>PMI End</t>
  </si>
  <si>
    <t>Rate</t>
  </si>
  <si>
    <t>30 Yr Term - Black Box PMI Rates</t>
  </si>
  <si>
    <t>LTV</t>
  </si>
  <si>
    <t>3% Down - PMI Premiums - 1 Borrower</t>
  </si>
  <si>
    <t>10% Down - PMI Premiums - 1 Borrower</t>
  </si>
  <si>
    <t>3% Down - PMI Premiums - Multi Borrower</t>
  </si>
  <si>
    <t>10% Down - PMI Premiums - Multi Borrower</t>
  </si>
  <si>
    <t>Title Insurance Calculations</t>
  </si>
  <si>
    <t>Fico Range</t>
  </si>
  <si>
    <t>BPMI</t>
  </si>
  <si>
    <t>LPMI</t>
  </si>
  <si>
    <t>Single PIF</t>
  </si>
  <si>
    <t>Single Fin</t>
  </si>
  <si>
    <t>PP Round Up</t>
  </si>
  <si>
    <t>Total Premium</t>
  </si>
  <si>
    <t>DP</t>
  </si>
  <si>
    <t>LA Round Up</t>
  </si>
  <si>
    <t>Lenders</t>
  </si>
  <si>
    <t>Owners</t>
  </si>
  <si>
    <t># of Borr</t>
  </si>
  <si>
    <t>620-639</t>
  </si>
  <si>
    <t>640-659</t>
  </si>
  <si>
    <t>660-679</t>
  </si>
  <si>
    <t>Cash To Close Calculations</t>
  </si>
  <si>
    <t>Conf Limit</t>
  </si>
  <si>
    <t>680-699</t>
  </si>
  <si>
    <t>Per Diem</t>
  </si>
  <si>
    <t>15 Days</t>
  </si>
  <si>
    <t>HB Limit</t>
  </si>
  <si>
    <t>Single FIN</t>
  </si>
  <si>
    <t>700-719</t>
  </si>
  <si>
    <t>720-739</t>
  </si>
  <si>
    <t>740-759</t>
  </si>
  <si>
    <t>760-779</t>
  </si>
  <si>
    <t>APR Calcs</t>
  </si>
  <si>
    <t>780-799</t>
  </si>
  <si>
    <t>800-850</t>
  </si>
  <si>
    <t>Total PMI</t>
  </si>
  <si>
    <t>Amount Fin</t>
  </si>
  <si>
    <t>5% Down - PMI Premiums - 1 Borrower</t>
  </si>
  <si>
    <t>15% Down - PMI Premiums - 1 Borrower</t>
  </si>
  <si>
    <t>5% Down - PMI Premiums - Multi Borrower</t>
  </si>
  <si>
    <t>15% Down - PMI Premiums - Multi Borrower</t>
  </si>
  <si>
    <t>30 Yr Term - Black Box PMI Rates - HomePossible/HomeReady</t>
  </si>
  <si>
    <t>Home Poss - 3% Down - PMI Premiums - 1 Borrower</t>
  </si>
  <si>
    <t>Home Poss - 10% Down - PMI Premiums - 1 Borrower</t>
  </si>
  <si>
    <t>Home Poss - 3% Down - PMI Premiums - Multi Borrower</t>
  </si>
  <si>
    <t>Home Poss - 10% Down - PMI Premiums - Multi Borrower</t>
  </si>
  <si>
    <t>Home Poss - 5% Down - PMI Premiums - 1 Borrower</t>
  </si>
  <si>
    <t>Home Poss - 15% Down - PMI Premiums - 1 Borrower</t>
  </si>
  <si>
    <t>Home Poss - 5% Down - PMI Premiums - Multi Borrower</t>
  </si>
  <si>
    <t>Home Poss - 15% Down - PMI Premiums - Multi Borrower</t>
  </si>
  <si>
    <t>Homeowners Ins - 4 months at</t>
  </si>
  <si>
    <t>HOA fees</t>
  </si>
  <si>
    <t>dom.russo@Luminate.Bank</t>
  </si>
  <si>
    <t xml:space="preserve">dom.russo@Luminate.Bank       </t>
  </si>
  <si>
    <t>No</t>
  </si>
  <si>
    <t>Bollette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</si>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</sst>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164" formatCode="&quot;$&quot;#,##0"/>
    <numFmt numFmtId="165" formatCode="&quot;$&quot;#,##0.00"/>
    <numFmt numFmtId="166" formatCode="0.000%"/>
  </numFmts>
  <fonts count="25" x14ac:knownFonts="1">
    <font>
      <sz val="11"/>
      <color theme="1"/>
      <name val="Calibri"/>
      <scheme val="minor"/>
    </font>
    <font>
      <b/>
      <sz val="24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rgb="FFD8D8D8"/>
      <name val="Calibri"/>
      <family val="2"/>
    </font>
    <font>
      <b/>
      <sz val="12"/>
      <color theme="1"/>
      <name val="Calibri"/>
      <family val="2"/>
    </font>
    <font>
      <sz val="11"/>
      <color theme="10"/>
      <name val="Calibri"/>
      <family val="2"/>
    </font>
    <font>
      <u/>
      <sz val="10"/>
      <color theme="10"/>
      <name val="Calibri"/>
      <family val="2"/>
    </font>
    <font>
      <u/>
      <sz val="10"/>
      <color theme="10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4"/>
      <color rgb="FFFF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3" fillId="2" borderId="4" xfId="0" applyNumberFormat="1" applyFont="1" applyFill="1" applyBorder="1" applyAlignment="1">
      <alignment horizontal="center"/>
    </xf>
    <xf numFmtId="0" fontId="2" fillId="2" borderId="8" xfId="0" applyFont="1" applyFill="1" applyBorder="1"/>
    <xf numFmtId="164" fontId="3" fillId="2" borderId="4" xfId="0" applyNumberFormat="1" applyFont="1" applyFill="1" applyBorder="1"/>
    <xf numFmtId="164" fontId="3" fillId="2" borderId="9" xfId="0" applyNumberFormat="1" applyFont="1" applyFill="1" applyBorder="1"/>
    <xf numFmtId="164" fontId="5" fillId="2" borderId="4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vertical="center"/>
    </xf>
    <xf numFmtId="164" fontId="5" fillId="3" borderId="11" xfId="0" applyNumberFormat="1" applyFont="1" applyFill="1" applyBorder="1" applyAlignment="1">
      <alignment vertical="center"/>
    </xf>
    <xf numFmtId="164" fontId="1" fillId="0" borderId="0" xfId="0" applyNumberFormat="1" applyFont="1"/>
    <xf numFmtId="164" fontId="5" fillId="2" borderId="4" xfId="0" applyNumberFormat="1" applyFont="1" applyFill="1" applyBorder="1"/>
    <xf numFmtId="164" fontId="5" fillId="2" borderId="9" xfId="0" applyNumberFormat="1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0" fontId="6" fillId="2" borderId="4" xfId="0" applyFont="1" applyFill="1" applyBorder="1"/>
    <xf numFmtId="0" fontId="6" fillId="0" borderId="24" xfId="0" applyFont="1" applyBorder="1"/>
    <xf numFmtId="164" fontId="2" fillId="3" borderId="23" xfId="0" applyNumberFormat="1" applyFont="1" applyFill="1" applyBorder="1" applyAlignment="1">
      <alignment horizontal="right"/>
    </xf>
    <xf numFmtId="165" fontId="2" fillId="2" borderId="9" xfId="0" applyNumberFormat="1" applyFont="1" applyFill="1" applyBorder="1"/>
    <xf numFmtId="0" fontId="6" fillId="0" borderId="28" xfId="0" applyFont="1" applyBorder="1"/>
    <xf numFmtId="164" fontId="2" fillId="3" borderId="27" xfId="0" applyNumberFormat="1" applyFont="1" applyFill="1" applyBorder="1" applyAlignment="1">
      <alignment horizontal="right"/>
    </xf>
    <xf numFmtId="166" fontId="2" fillId="3" borderId="27" xfId="0" applyNumberFormat="1" applyFont="1" applyFill="1" applyBorder="1" applyAlignment="1">
      <alignment horizontal="right"/>
    </xf>
    <xf numFmtId="166" fontId="2" fillId="0" borderId="0" xfId="0" applyNumberFormat="1" applyFont="1"/>
    <xf numFmtId="10" fontId="2" fillId="0" borderId="27" xfId="0" applyNumberFormat="1" applyFont="1" applyBorder="1" applyAlignment="1">
      <alignment horizontal="right"/>
    </xf>
    <xf numFmtId="0" fontId="2" fillId="0" borderId="24" xfId="0" applyFont="1" applyBorder="1"/>
    <xf numFmtId="165" fontId="2" fillId="3" borderId="23" xfId="0" applyNumberFormat="1" applyFont="1" applyFill="1" applyBorder="1" applyAlignment="1">
      <alignment horizontal="right"/>
    </xf>
    <xf numFmtId="165" fontId="2" fillId="3" borderId="38" xfId="0" applyNumberFormat="1" applyFont="1" applyFill="1" applyBorder="1" applyAlignment="1">
      <alignment horizontal="right"/>
    </xf>
    <xf numFmtId="0" fontId="2" fillId="0" borderId="28" xfId="0" applyFont="1" applyBorder="1"/>
    <xf numFmtId="165" fontId="2" fillId="3" borderId="27" xfId="0" applyNumberFormat="1" applyFont="1" applyFill="1" applyBorder="1" applyAlignment="1">
      <alignment horizontal="right"/>
    </xf>
    <xf numFmtId="165" fontId="2" fillId="0" borderId="27" xfId="0" applyNumberFormat="1" applyFont="1" applyBorder="1" applyAlignment="1">
      <alignment horizontal="right"/>
    </xf>
    <xf numFmtId="0" fontId="6" fillId="0" borderId="39" xfId="0" applyFont="1" applyBorder="1"/>
    <xf numFmtId="165" fontId="6" fillId="3" borderId="23" xfId="0" applyNumberFormat="1" applyFont="1" applyFill="1" applyBorder="1" applyAlignment="1">
      <alignment horizontal="right"/>
    </xf>
    <xf numFmtId="164" fontId="2" fillId="2" borderId="9" xfId="0" applyNumberFormat="1" applyFont="1" applyFill="1" applyBorder="1"/>
    <xf numFmtId="0" fontId="6" fillId="0" borderId="40" xfId="0" applyFont="1" applyBorder="1"/>
    <xf numFmtId="164" fontId="6" fillId="3" borderId="31" xfId="0" applyNumberFormat="1" applyFont="1" applyFill="1" applyBorder="1" applyAlignment="1">
      <alignment horizontal="right"/>
    </xf>
    <xf numFmtId="0" fontId="6" fillId="2" borderId="9" xfId="0" applyFont="1" applyFill="1" applyBorder="1" applyAlignment="1">
      <alignment vertical="center"/>
    </xf>
    <xf numFmtId="164" fontId="2" fillId="3" borderId="38" xfId="0" applyNumberFormat="1" applyFont="1" applyFill="1" applyBorder="1" applyAlignment="1">
      <alignment shrinkToFit="1"/>
    </xf>
    <xf numFmtId="164" fontId="2" fillId="3" borderId="38" xfId="0" applyNumberFormat="1" applyFont="1" applyFill="1" applyBorder="1" applyAlignment="1">
      <alignment horizontal="right"/>
    </xf>
    <xf numFmtId="164" fontId="2" fillId="3" borderId="27" xfId="0" applyNumberFormat="1" applyFont="1" applyFill="1" applyBorder="1"/>
    <xf numFmtId="10" fontId="2" fillId="3" borderId="27" xfId="0" applyNumberFormat="1" applyFont="1" applyFill="1" applyBorder="1" applyAlignment="1">
      <alignment horizontal="right"/>
    </xf>
    <xf numFmtId="0" fontId="2" fillId="0" borderId="17" xfId="0" applyFont="1" applyBorder="1" applyAlignment="1">
      <alignment horizontal="center"/>
    </xf>
    <xf numFmtId="164" fontId="2" fillId="3" borderId="43" xfId="0" applyNumberFormat="1" applyFont="1" applyFill="1" applyBorder="1"/>
    <xf numFmtId="0" fontId="2" fillId="2" borderId="9" xfId="0" applyFont="1" applyFill="1" applyBorder="1" applyAlignment="1">
      <alignment horizontal="center"/>
    </xf>
    <xf numFmtId="164" fontId="2" fillId="4" borderId="44" xfId="0" applyNumberFormat="1" applyFont="1" applyFill="1" applyBorder="1"/>
    <xf numFmtId="164" fontId="2" fillId="3" borderId="45" xfId="0" applyNumberFormat="1" applyFont="1" applyFill="1" applyBorder="1"/>
    <xf numFmtId="164" fontId="2" fillId="6" borderId="45" xfId="0" applyNumberFormat="1" applyFont="1" applyFill="1" applyBorder="1"/>
    <xf numFmtId="164" fontId="2" fillId="7" borderId="45" xfId="0" applyNumberFormat="1" applyFont="1" applyFill="1" applyBorder="1"/>
    <xf numFmtId="164" fontId="2" fillId="8" borderId="46" xfId="0" applyNumberFormat="1" applyFont="1" applyFill="1" applyBorder="1"/>
    <xf numFmtId="0" fontId="2" fillId="2" borderId="9" xfId="0" applyFont="1" applyFill="1" applyBorder="1" applyAlignment="1">
      <alignment horizontal="left"/>
    </xf>
    <xf numFmtId="164" fontId="2" fillId="2" borderId="9" xfId="0" applyNumberFormat="1" applyFont="1" applyFill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0" fontId="6" fillId="3" borderId="11" xfId="0" applyFont="1" applyFill="1" applyBorder="1"/>
    <xf numFmtId="0" fontId="6" fillId="3" borderId="12" xfId="0" applyFont="1" applyFill="1" applyBorder="1"/>
    <xf numFmtId="0" fontId="2" fillId="0" borderId="47" xfId="0" applyFont="1" applyBorder="1" applyAlignment="1">
      <alignment horizontal="center"/>
    </xf>
    <xf numFmtId="0" fontId="9" fillId="0" borderId="47" xfId="0" applyFont="1" applyBorder="1"/>
    <xf numFmtId="165" fontId="2" fillId="0" borderId="0" xfId="0" applyNumberFormat="1" applyFont="1"/>
    <xf numFmtId="165" fontId="2" fillId="0" borderId="48" xfId="0" applyNumberFormat="1" applyFont="1" applyBorder="1"/>
    <xf numFmtId="0" fontId="9" fillId="0" borderId="0" xfId="0" applyFont="1" applyAlignment="1">
      <alignment vertical="center"/>
    </xf>
    <xf numFmtId="0" fontId="2" fillId="0" borderId="18" xfId="0" applyFont="1" applyBorder="1"/>
    <xf numFmtId="165" fontId="10" fillId="0" borderId="18" xfId="0" applyNumberFormat="1" applyFont="1" applyBorder="1" applyAlignment="1">
      <alignment horizontal="left"/>
    </xf>
    <xf numFmtId="165" fontId="11" fillId="0" borderId="19" xfId="0" applyNumberFormat="1" applyFont="1" applyBorder="1" applyAlignment="1">
      <alignment horizontal="left"/>
    </xf>
    <xf numFmtId="0" fontId="2" fillId="2" borderId="49" xfId="0" applyFont="1" applyFill="1" applyBorder="1"/>
    <xf numFmtId="0" fontId="2" fillId="2" borderId="50" xfId="0" applyFont="1" applyFill="1" applyBorder="1"/>
    <xf numFmtId="0" fontId="2" fillId="2" borderId="51" xfId="0" applyFont="1" applyFill="1" applyBorder="1"/>
    <xf numFmtId="164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5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/>
    <xf numFmtId="0" fontId="2" fillId="3" borderId="11" xfId="0" applyFont="1" applyFill="1" applyBorder="1"/>
    <xf numFmtId="164" fontId="3" fillId="3" borderId="12" xfId="0" applyNumberFormat="1" applyFont="1" applyFill="1" applyBorder="1" applyAlignment="1">
      <alignment horizontal="right" vertical="center"/>
    </xf>
    <xf numFmtId="0" fontId="2" fillId="0" borderId="13" xfId="0" applyFont="1" applyBorder="1"/>
    <xf numFmtId="0" fontId="2" fillId="0" borderId="14" xfId="0" applyFont="1" applyBorder="1"/>
    <xf numFmtId="0" fontId="2" fillId="4" borderId="2" xfId="0" applyFont="1" applyFill="1" applyBorder="1"/>
    <xf numFmtId="0" fontId="2" fillId="4" borderId="3" xfId="0" applyFont="1" applyFill="1" applyBorder="1" applyAlignment="1">
      <alignment horizontal="right"/>
    </xf>
    <xf numFmtId="0" fontId="6" fillId="3" borderId="1" xfId="0" applyFont="1" applyFill="1" applyBorder="1"/>
    <xf numFmtId="0" fontId="6" fillId="3" borderId="2" xfId="0" applyFont="1" applyFill="1" applyBorder="1" applyAlignment="1">
      <alignment horizontal="right"/>
    </xf>
    <xf numFmtId="164" fontId="6" fillId="3" borderId="3" xfId="0" applyNumberFormat="1" applyFont="1" applyFill="1" applyBorder="1"/>
    <xf numFmtId="0" fontId="2" fillId="0" borderId="47" xfId="0" applyFont="1" applyBorder="1"/>
    <xf numFmtId="0" fontId="2" fillId="4" borderId="9" xfId="0" applyFont="1" applyFill="1" applyBorder="1"/>
    <xf numFmtId="0" fontId="2" fillId="4" borderId="8" xfId="0" applyFont="1" applyFill="1" applyBorder="1" applyAlignment="1">
      <alignment horizontal="right"/>
    </xf>
    <xf numFmtId="0" fontId="2" fillId="0" borderId="14" xfId="0" applyFont="1" applyBorder="1" applyAlignment="1">
      <alignment horizontal="left"/>
    </xf>
    <xf numFmtId="164" fontId="2" fillId="4" borderId="3" xfId="0" applyNumberFormat="1" applyFont="1" applyFill="1" applyBorder="1"/>
    <xf numFmtId="0" fontId="2" fillId="0" borderId="18" xfId="0" applyFont="1" applyBorder="1" applyAlignment="1">
      <alignment horizontal="left"/>
    </xf>
    <xf numFmtId="166" fontId="2" fillId="0" borderId="18" xfId="0" applyNumberFormat="1" applyFont="1" applyBorder="1" applyAlignment="1">
      <alignment horizontal="left"/>
    </xf>
    <xf numFmtId="164" fontId="2" fillId="4" borderId="51" xfId="0" applyNumberFormat="1" applyFont="1" applyFill="1" applyBorder="1"/>
    <xf numFmtId="0" fontId="6" fillId="3" borderId="4" xfId="0" applyFont="1" applyFill="1" applyBorder="1"/>
    <xf numFmtId="0" fontId="6" fillId="3" borderId="9" xfId="0" applyFont="1" applyFill="1" applyBorder="1" applyAlignment="1">
      <alignment horizontal="right"/>
    </xf>
    <xf numFmtId="164" fontId="6" fillId="3" borderId="8" xfId="0" applyNumberFormat="1" applyFont="1" applyFill="1" applyBorder="1"/>
    <xf numFmtId="164" fontId="2" fillId="4" borderId="8" xfId="0" applyNumberFormat="1" applyFont="1" applyFill="1" applyBorder="1"/>
    <xf numFmtId="166" fontId="2" fillId="4" borderId="8" xfId="0" applyNumberFormat="1" applyFont="1" applyFill="1" applyBorder="1" applyAlignment="1">
      <alignment horizontal="right"/>
    </xf>
    <xf numFmtId="0" fontId="2" fillId="0" borderId="17" xfId="0" applyFont="1" applyBorder="1"/>
    <xf numFmtId="0" fontId="2" fillId="4" borderId="50" xfId="0" applyFont="1" applyFill="1" applyBorder="1"/>
    <xf numFmtId="9" fontId="2" fillId="4" borderId="51" xfId="0" applyNumberFormat="1" applyFont="1" applyFill="1" applyBorder="1" applyAlignment="1">
      <alignment horizontal="right"/>
    </xf>
    <xf numFmtId="0" fontId="6" fillId="3" borderId="2" xfId="0" applyFont="1" applyFill="1" applyBorder="1"/>
    <xf numFmtId="0" fontId="6" fillId="3" borderId="9" xfId="0" applyFont="1" applyFill="1" applyBorder="1"/>
    <xf numFmtId="164" fontId="6" fillId="3" borderId="12" xfId="0" applyNumberFormat="1" applyFont="1" applyFill="1" applyBorder="1"/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8" xfId="0" applyFont="1" applyBorder="1" applyAlignment="1">
      <alignment horizontal="left"/>
    </xf>
    <xf numFmtId="0" fontId="6" fillId="3" borderId="50" xfId="0" applyFont="1" applyFill="1" applyBorder="1" applyAlignment="1">
      <alignment horizontal="right"/>
    </xf>
    <xf numFmtId="164" fontId="6" fillId="3" borderId="51" xfId="0" applyNumberFormat="1" applyFont="1" applyFill="1" applyBorder="1"/>
    <xf numFmtId="0" fontId="6" fillId="3" borderId="50" xfId="0" applyFont="1" applyFill="1" applyBorder="1" applyAlignment="1">
      <alignment horizontal="left"/>
    </xf>
    <xf numFmtId="0" fontId="17" fillId="9" borderId="1" xfId="0" applyFont="1" applyFill="1" applyBorder="1"/>
    <xf numFmtId="0" fontId="17" fillId="9" borderId="2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0" borderId="48" xfId="0" applyFont="1" applyBorder="1"/>
    <xf numFmtId="0" fontId="2" fillId="9" borderId="9" xfId="0" applyFont="1" applyFill="1" applyBorder="1"/>
    <xf numFmtId="0" fontId="2" fillId="9" borderId="8" xfId="0" applyFont="1" applyFill="1" applyBorder="1"/>
    <xf numFmtId="0" fontId="18" fillId="9" borderId="4" xfId="0" applyFont="1" applyFill="1" applyBorder="1" applyAlignment="1">
      <alignment horizontal="left"/>
    </xf>
    <xf numFmtId="0" fontId="18" fillId="9" borderId="9" xfId="0" applyFont="1" applyFill="1" applyBorder="1"/>
    <xf numFmtId="0" fontId="19" fillId="9" borderId="9" xfId="0" applyFont="1" applyFill="1" applyBorder="1" applyAlignment="1">
      <alignment horizontal="left"/>
    </xf>
    <xf numFmtId="0" fontId="18" fillId="9" borderId="49" xfId="0" applyFont="1" applyFill="1" applyBorder="1" applyAlignment="1">
      <alignment horizontal="left"/>
    </xf>
    <xf numFmtId="0" fontId="2" fillId="9" borderId="50" xfId="0" applyFont="1" applyFill="1" applyBorder="1"/>
    <xf numFmtId="0" fontId="2" fillId="9" borderId="51" xfId="0" applyFont="1" applyFill="1" applyBorder="1"/>
    <xf numFmtId="0" fontId="20" fillId="0" borderId="0" xfId="0" applyFont="1"/>
    <xf numFmtId="0" fontId="20" fillId="2" borderId="2" xfId="0" applyFont="1" applyFill="1" applyBorder="1"/>
    <xf numFmtId="165" fontId="2" fillId="2" borderId="2" xfId="0" applyNumberFormat="1" applyFont="1" applyFill="1" applyBorder="1"/>
    <xf numFmtId="0" fontId="20" fillId="2" borderId="9" xfId="0" applyFont="1" applyFill="1" applyBorder="1"/>
    <xf numFmtId="0" fontId="21" fillId="3" borderId="10" xfId="0" applyFont="1" applyFill="1" applyBorder="1" applyAlignment="1">
      <alignment horizontal="left" vertical="center"/>
    </xf>
    <xf numFmtId="0" fontId="20" fillId="3" borderId="11" xfId="0" applyFont="1" applyFill="1" applyBorder="1"/>
    <xf numFmtId="165" fontId="3" fillId="3" borderId="12" xfId="0" applyNumberFormat="1" applyFont="1" applyFill="1" applyBorder="1" applyAlignment="1">
      <alignment horizontal="right" vertical="center"/>
    </xf>
    <xf numFmtId="0" fontId="21" fillId="2" borderId="9" xfId="0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3" borderId="64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165" fontId="20" fillId="3" borderId="4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2" fillId="0" borderId="15" xfId="0" applyNumberFormat="1" applyFont="1" applyBorder="1"/>
    <xf numFmtId="0" fontId="20" fillId="3" borderId="39" xfId="0" applyFont="1" applyFill="1" applyBorder="1"/>
    <xf numFmtId="166" fontId="20" fillId="4" borderId="23" xfId="0" applyNumberFormat="1" applyFont="1" applyFill="1" applyBorder="1"/>
    <xf numFmtId="166" fontId="20" fillId="2" borderId="9" xfId="0" applyNumberFormat="1" applyFont="1" applyFill="1" applyBorder="1"/>
    <xf numFmtId="8" fontId="2" fillId="0" borderId="0" xfId="0" applyNumberFormat="1" applyFont="1"/>
    <xf numFmtId="165" fontId="2" fillId="4" borderId="8" xfId="0" applyNumberFormat="1" applyFont="1" applyFill="1" applyBorder="1"/>
    <xf numFmtId="0" fontId="20" fillId="3" borderId="28" xfId="0" applyFont="1" applyFill="1" applyBorder="1"/>
    <xf numFmtId="164" fontId="20" fillId="4" borderId="27" xfId="0" applyNumberFormat="1" applyFont="1" applyFill="1" applyBorder="1"/>
    <xf numFmtId="164" fontId="20" fillId="2" borderId="9" xfId="0" applyNumberFormat="1" applyFont="1" applyFill="1" applyBorder="1"/>
    <xf numFmtId="0" fontId="20" fillId="4" borderId="27" xfId="0" applyFont="1" applyFill="1" applyBorder="1"/>
    <xf numFmtId="165" fontId="20" fillId="4" borderId="27" xfId="0" applyNumberFormat="1" applyFont="1" applyFill="1" applyBorder="1"/>
    <xf numFmtId="165" fontId="20" fillId="2" borderId="9" xfId="0" applyNumberFormat="1" applyFont="1" applyFill="1" applyBorder="1"/>
    <xf numFmtId="0" fontId="20" fillId="3" borderId="40" xfId="0" applyFont="1" applyFill="1" applyBorder="1"/>
    <xf numFmtId="9" fontId="20" fillId="4" borderId="31" xfId="0" applyNumberFormat="1" applyFont="1" applyFill="1" applyBorder="1"/>
    <xf numFmtId="9" fontId="20" fillId="2" borderId="9" xfId="0" applyNumberFormat="1" applyFont="1" applyFill="1" applyBorder="1"/>
    <xf numFmtId="0" fontId="20" fillId="0" borderId="47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8" fontId="2" fillId="0" borderId="18" xfId="0" applyNumberFormat="1" applyFont="1" applyBorder="1"/>
    <xf numFmtId="165" fontId="2" fillId="4" borderId="51" xfId="0" applyNumberFormat="1" applyFont="1" applyFill="1" applyBorder="1"/>
    <xf numFmtId="0" fontId="20" fillId="2" borderId="50" xfId="0" applyFont="1" applyFill="1" applyBorder="1"/>
    <xf numFmtId="0" fontId="20" fillId="2" borderId="50" xfId="0" applyFont="1" applyFill="1" applyBorder="1" applyAlignment="1">
      <alignment horizontal="center"/>
    </xf>
    <xf numFmtId="8" fontId="2" fillId="2" borderId="50" xfId="0" applyNumberFormat="1" applyFont="1" applyFill="1" applyBorder="1"/>
    <xf numFmtId="165" fontId="2" fillId="2" borderId="50" xfId="0" applyNumberFormat="1" applyFont="1" applyFill="1" applyBorder="1"/>
    <xf numFmtId="0" fontId="20" fillId="0" borderId="0" xfId="0" applyFont="1" applyAlignment="1">
      <alignment horizontal="center"/>
    </xf>
    <xf numFmtId="0" fontId="21" fillId="2" borderId="2" xfId="0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22" fillId="0" borderId="47" xfId="0" applyFont="1" applyBorder="1" applyAlignment="1">
      <alignment horizontal="center"/>
    </xf>
    <xf numFmtId="8" fontId="22" fillId="0" borderId="0" xfId="0" applyNumberFormat="1" applyFont="1"/>
    <xf numFmtId="165" fontId="22" fillId="4" borderId="8" xfId="0" applyNumberFormat="1" applyFont="1" applyFill="1" applyBorder="1"/>
    <xf numFmtId="9" fontId="20" fillId="2" borderId="50" xfId="0" applyNumberFormat="1" applyFont="1" applyFill="1" applyBorder="1"/>
    <xf numFmtId="0" fontId="2" fillId="2" borderId="50" xfId="0" applyFont="1" applyFill="1" applyBorder="1" applyAlignment="1">
      <alignment horizontal="center"/>
    </xf>
    <xf numFmtId="0" fontId="23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68" xfId="0" applyFont="1" applyBorder="1"/>
    <xf numFmtId="166" fontId="2" fillId="0" borderId="68" xfId="0" applyNumberFormat="1" applyFont="1" applyBorder="1"/>
    <xf numFmtId="164" fontId="2" fillId="0" borderId="68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6" fontId="2" fillId="7" borderId="68" xfId="0" applyNumberFormat="1" applyFont="1" applyFill="1" applyBorder="1"/>
    <xf numFmtId="164" fontId="2" fillId="0" borderId="68" xfId="0" applyNumberFormat="1" applyFont="1" applyBorder="1"/>
    <xf numFmtId="9" fontId="2" fillId="0" borderId="68" xfId="0" applyNumberFormat="1" applyFont="1" applyBorder="1"/>
    <xf numFmtId="165" fontId="2" fillId="0" borderId="68" xfId="0" applyNumberFormat="1" applyFont="1" applyBorder="1"/>
    <xf numFmtId="10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69" xfId="0" applyNumberFormat="1" applyFont="1" applyBorder="1"/>
    <xf numFmtId="3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0" fontId="2" fillId="4" borderId="37" xfId="0" applyNumberFormat="1" applyFont="1" applyFill="1" applyBorder="1" applyProtection="1">
      <protection locked="0"/>
    </xf>
    <xf numFmtId="164" fontId="2" fillId="4" borderId="27" xfId="0" applyNumberFormat="1" applyFont="1" applyFill="1" applyBorder="1" applyProtection="1">
      <protection locked="0"/>
    </xf>
    <xf numFmtId="164" fontId="2" fillId="4" borderId="31" xfId="0" applyNumberFormat="1" applyFont="1" applyFill="1" applyBorder="1" applyProtection="1">
      <protection locked="0"/>
    </xf>
    <xf numFmtId="164" fontId="2" fillId="4" borderId="23" xfId="0" applyNumberFormat="1" applyFont="1" applyFill="1" applyBorder="1" applyAlignment="1" applyProtection="1">
      <alignment shrinkToFit="1"/>
      <protection locked="0"/>
    </xf>
    <xf numFmtId="0" fontId="2" fillId="4" borderId="27" xfId="0" applyFont="1" applyFill="1" applyBorder="1" applyProtection="1">
      <protection locked="0"/>
    </xf>
    <xf numFmtId="0" fontId="2" fillId="4" borderId="27" xfId="0" applyFont="1" applyFill="1" applyBorder="1" applyAlignment="1" applyProtection="1">
      <alignment horizontal="right"/>
      <protection locked="0"/>
    </xf>
    <xf numFmtId="164" fontId="2" fillId="5" borderId="27" xfId="0" applyNumberFormat="1" applyFont="1" applyFill="1" applyBorder="1" applyProtection="1">
      <protection locked="0"/>
    </xf>
    <xf numFmtId="166" fontId="2" fillId="4" borderId="27" xfId="0" applyNumberFormat="1" applyFont="1" applyFill="1" applyBorder="1" applyAlignment="1" applyProtection="1">
      <alignment horizontal="right"/>
      <protection locked="0"/>
    </xf>
    <xf numFmtId="0" fontId="24" fillId="9" borderId="4" xfId="1" applyFill="1" applyBorder="1" applyAlignment="1">
      <alignment horizontal="left"/>
    </xf>
    <xf numFmtId="164" fontId="3" fillId="3" borderId="12" xfId="0" applyNumberFormat="1" applyFont="1" applyFill="1" applyBorder="1" applyAlignment="1" applyProtection="1">
      <alignment horizontal="right"/>
      <protection locked="0"/>
    </xf>
    <xf numFmtId="0" fontId="2" fillId="0" borderId="47" xfId="0" applyFont="1" applyBorder="1" applyAlignment="1">
      <alignment horizontal="center"/>
    </xf>
    <xf numFmtId="0" fontId="0" fillId="0" borderId="0" xfId="0"/>
    <xf numFmtId="0" fontId="4" fillId="0" borderId="48" xfId="0" applyFont="1" applyBorder="1"/>
    <xf numFmtId="0" fontId="6" fillId="0" borderId="5" xfId="0" applyFont="1" applyBorder="1" applyAlignment="1">
      <alignment horizontal="left"/>
    </xf>
    <xf numFmtId="0" fontId="4" fillId="0" borderId="42" xfId="0" applyFont="1" applyBorder="1"/>
    <xf numFmtId="0" fontId="6" fillId="3" borderId="5" xfId="0" applyFont="1" applyFill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2" fillId="0" borderId="21" xfId="0" applyFont="1" applyBorder="1" applyAlignment="1">
      <alignment horizontal="left"/>
    </xf>
    <xf numFmtId="0" fontId="4" fillId="0" borderId="22" xfId="0" applyFont="1" applyBorder="1"/>
    <xf numFmtId="0" fontId="2" fillId="0" borderId="25" xfId="0" applyFont="1" applyBorder="1" applyAlignment="1">
      <alignment horizontal="left"/>
    </xf>
    <xf numFmtId="0" fontId="4" fillId="0" borderId="26" xfId="0" applyFont="1" applyBorder="1"/>
    <xf numFmtId="0" fontId="2" fillId="0" borderId="29" xfId="0" applyFont="1" applyBorder="1" applyAlignment="1">
      <alignment horizontal="left"/>
    </xf>
    <xf numFmtId="0" fontId="4" fillId="0" borderId="30" xfId="0" applyFont="1" applyBorder="1"/>
    <xf numFmtId="0" fontId="8" fillId="0" borderId="13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2" fillId="0" borderId="47" xfId="0" applyFont="1" applyBorder="1" applyAlignment="1">
      <alignment horizontal="center" vertical="center"/>
    </xf>
    <xf numFmtId="0" fontId="24" fillId="0" borderId="47" xfId="1" applyBorder="1" applyAlignment="1">
      <alignment horizontal="right"/>
    </xf>
    <xf numFmtId="0" fontId="0" fillId="0" borderId="0" xfId="0" applyAlignment="1">
      <alignment horizontal="right"/>
    </xf>
    <xf numFmtId="0" fontId="4" fillId="0" borderId="48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2" fillId="0" borderId="32" xfId="0" applyFont="1" applyBorder="1" applyAlignment="1">
      <alignment horizontal="center"/>
    </xf>
    <xf numFmtId="0" fontId="4" fillId="0" borderId="33" xfId="0" applyFont="1" applyBorder="1"/>
    <xf numFmtId="0" fontId="6" fillId="0" borderId="5" xfId="0" applyFont="1" applyBorder="1" applyAlignment="1">
      <alignment horizontal="center"/>
    </xf>
    <xf numFmtId="0" fontId="2" fillId="0" borderId="13" xfId="0" applyFont="1" applyBorder="1" applyAlignment="1">
      <alignment horizontal="left" vertical="top"/>
    </xf>
    <xf numFmtId="0" fontId="4" fillId="0" borderId="47" xfId="0" applyFont="1" applyBorder="1"/>
    <xf numFmtId="0" fontId="4" fillId="0" borderId="17" xfId="0" applyFont="1" applyBorder="1"/>
    <xf numFmtId="0" fontId="6" fillId="0" borderId="29" xfId="0" applyFont="1" applyBorder="1" applyAlignment="1">
      <alignment horizontal="left"/>
    </xf>
    <xf numFmtId="0" fontId="6" fillId="3" borderId="13" xfId="0" applyFont="1" applyFill="1" applyBorder="1" applyAlignment="1">
      <alignment horizontal="center" vertical="center"/>
    </xf>
    <xf numFmtId="165" fontId="6" fillId="3" borderId="13" xfId="0" applyNumberFormat="1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left"/>
    </xf>
    <xf numFmtId="0" fontId="4" fillId="0" borderId="41" xfId="0" applyFont="1" applyBorder="1"/>
    <xf numFmtId="0" fontId="6" fillId="0" borderId="25" xfId="0" applyFont="1" applyBorder="1" applyAlignment="1">
      <alignment horizontal="left"/>
    </xf>
    <xf numFmtId="0" fontId="4" fillId="0" borderId="34" xfId="0" applyFont="1" applyBorder="1"/>
    <xf numFmtId="0" fontId="4" fillId="0" borderId="35" xfId="0" applyFont="1" applyBorder="1"/>
    <xf numFmtId="0" fontId="6" fillId="3" borderId="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4" fillId="0" borderId="36" xfId="0" applyFont="1" applyBorder="1"/>
    <xf numFmtId="0" fontId="6" fillId="0" borderId="21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3" borderId="5" xfId="0" applyNumberFormat="1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/>
    </xf>
    <xf numFmtId="0" fontId="4" fillId="0" borderId="20" xfId="0" applyFont="1" applyBorder="1"/>
    <xf numFmtId="0" fontId="18" fillId="9" borderId="61" xfId="0" applyFont="1" applyFill="1" applyBorder="1" applyAlignment="1">
      <alignment horizontal="left"/>
    </xf>
    <xf numFmtId="0" fontId="4" fillId="0" borderId="62" xfId="0" applyFont="1" applyBorder="1"/>
    <xf numFmtId="0" fontId="4" fillId="0" borderId="63" xfId="0" applyFont="1" applyBorder="1"/>
    <xf numFmtId="165" fontId="2" fillId="0" borderId="0" xfId="0" applyNumberFormat="1" applyFont="1" applyAlignment="1">
      <alignment horizontal="right"/>
    </xf>
    <xf numFmtId="165" fontId="2" fillId="0" borderId="18" xfId="0" applyNumberFormat="1" applyFont="1" applyBorder="1" applyAlignment="1">
      <alignment horizontal="right"/>
    </xf>
    <xf numFmtId="0" fontId="6" fillId="3" borderId="52" xfId="0" applyFont="1" applyFill="1" applyBorder="1" applyAlignment="1">
      <alignment horizontal="center"/>
    </xf>
    <xf numFmtId="0" fontId="4" fillId="0" borderId="53" xfId="0" applyFont="1" applyBorder="1"/>
    <xf numFmtId="0" fontId="4" fillId="0" borderId="54" xfId="0" applyFont="1" applyBorder="1"/>
    <xf numFmtId="165" fontId="2" fillId="0" borderId="14" xfId="0" applyNumberFormat="1" applyFont="1" applyBorder="1" applyAlignment="1">
      <alignment horizontal="right"/>
    </xf>
    <xf numFmtId="0" fontId="6" fillId="0" borderId="4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3" borderId="5" xfId="0" applyFont="1" applyFill="1" applyBorder="1" applyAlignment="1">
      <alignment horizontal="right"/>
    </xf>
    <xf numFmtId="0" fontId="4" fillId="0" borderId="57" xfId="0" applyFont="1" applyBorder="1"/>
    <xf numFmtId="0" fontId="6" fillId="3" borderId="58" xfId="0" applyFont="1" applyFill="1" applyBorder="1" applyAlignment="1">
      <alignment horizontal="right"/>
    </xf>
    <xf numFmtId="0" fontId="4" fillId="0" borderId="59" xfId="0" applyFont="1" applyBorder="1"/>
    <xf numFmtId="0" fontId="4" fillId="0" borderId="60" xfId="0" applyFont="1" applyBorder="1"/>
    <xf numFmtId="0" fontId="6" fillId="3" borderId="58" xfId="0" applyFont="1" applyFill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5" fontId="2" fillId="4" borderId="55" xfId="0" applyNumberFormat="1" applyFont="1" applyFill="1" applyBorder="1" applyAlignment="1">
      <alignment horizontal="right"/>
    </xf>
    <xf numFmtId="0" fontId="4" fillId="0" borderId="56" xfId="0" applyFont="1" applyBorder="1"/>
    <xf numFmtId="0" fontId="3" fillId="3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4" fillId="0" borderId="67" xfId="0" applyFont="1" applyBorder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1"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D8D8D8"/>
      </font>
      <fill>
        <patternFill patternType="solid">
          <fgColor rgb="FFD8D8D8"/>
          <bgColor rgb="FFD8D8D8"/>
        </patternFill>
      </fill>
    </dxf>
    <dxf>
      <font>
        <color rgb="FFD8D8D8"/>
      </font>
      <fill>
        <patternFill patternType="solid">
          <fgColor rgb="FFD8D8D8"/>
          <bgColor rgb="FFD8D8D8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8DB3E2"/>
          <bgColor rgb="FF8DB3E2"/>
        </patternFill>
      </fill>
    </dxf>
    <dxf>
      <font>
        <color rgb="FFD8D8D8"/>
      </font>
      <fill>
        <patternFill patternType="solid">
          <fgColor rgb="FFD8D8D8"/>
          <bgColor rgb="FFD8D8D8"/>
        </patternFill>
      </fill>
    </dxf>
    <dxf>
      <font>
        <color rgb="FFD8D8D8"/>
      </font>
      <fill>
        <patternFill patternType="solid">
          <fgColor rgb="FFD8D8D8"/>
          <bgColor rgb="FFD8D8D8"/>
        </patternFill>
      </fill>
    </dxf>
    <dxf>
      <font>
        <color rgb="FFD8D8D8"/>
      </font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40</xdr:row>
      <xdr:rowOff>9525</xdr:rowOff>
    </xdr:from>
    <xdr:ext cx="819150" cy="1009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1628775</xdr:colOff>
      <xdr:row>37</xdr:row>
      <xdr:rowOff>0</xdr:rowOff>
    </xdr:from>
    <xdr:ext cx="981075" cy="1200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m.russo@Luminate.Ban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dom.russo@Luminate.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0"/>
  <sheetViews>
    <sheetView showGridLines="0" tabSelected="1" workbookViewId="0">
      <selection activeCell="H12" sqref="H12"/>
    </sheetView>
  </sheetViews>
  <sheetFormatPr defaultColWidth="14.42578125" defaultRowHeight="15" customHeight="1" x14ac:dyDescent="0.25"/>
  <cols>
    <col min="1" max="1" width="1.42578125" customWidth="1"/>
    <col min="2" max="2" width="2.140625" customWidth="1"/>
    <col min="3" max="3" width="22" customWidth="1"/>
    <col min="4" max="4" width="4.85546875" customWidth="1"/>
    <col min="5" max="5" width="9.140625" customWidth="1"/>
    <col min="6" max="6" width="4.42578125" customWidth="1"/>
    <col min="7" max="7" width="18.28515625" customWidth="1"/>
    <col min="8" max="8" width="10.140625" bestFit="1" customWidth="1"/>
    <col min="9" max="9" width="2.140625" customWidth="1"/>
    <col min="10" max="10" width="18.28515625" customWidth="1"/>
    <col min="11" max="11" width="9.140625" customWidth="1"/>
    <col min="12" max="12" width="2.140625" customWidth="1"/>
    <col min="13" max="13" width="18.28515625" customWidth="1"/>
    <col min="14" max="14" width="9.140625" customWidth="1"/>
    <col min="15" max="15" width="2.140625" customWidth="1"/>
    <col min="16" max="16" width="18.28515625" customWidth="1"/>
    <col min="17" max="17" width="11.140625" customWidth="1"/>
    <col min="18" max="26" width="9.140625" customWidth="1"/>
  </cols>
  <sheetData>
    <row r="1" spans="2:17" ht="11.25" customHeight="1" x14ac:dyDescent="0.5">
      <c r="C1" s="237"/>
      <c r="D1" s="195"/>
      <c r="E1" s="195"/>
      <c r="F1" s="195"/>
      <c r="G1" s="195"/>
      <c r="H1" s="195"/>
      <c r="I1" s="195"/>
    </row>
    <row r="2" spans="2:17" ht="11.2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 spans="2:17" ht="30" customHeight="1" x14ac:dyDescent="0.45">
      <c r="B3" s="4"/>
      <c r="C3" s="238" t="str">
        <f>IF(H9&gt;Calcs!AQ9,"Jumbo 30 Yr Fix",IF(E15&lt;0.2,"Conventional 30 Yr Fix - PMI Options","Conventional 30 Yr Fix"))</f>
        <v>Conventional 30 Yr Fix</v>
      </c>
      <c r="D3" s="200"/>
      <c r="E3" s="200"/>
      <c r="F3" s="200"/>
      <c r="G3" s="200"/>
      <c r="H3" s="200"/>
      <c r="I3" s="200"/>
      <c r="J3" s="200"/>
      <c r="K3" s="201"/>
      <c r="L3" s="5"/>
    </row>
    <row r="4" spans="2:17" ht="11.25" customHeight="1" x14ac:dyDescent="0.45">
      <c r="B4" s="6"/>
      <c r="C4" s="7"/>
      <c r="D4" s="7"/>
      <c r="E4" s="7"/>
      <c r="F4" s="7"/>
      <c r="G4" s="7"/>
      <c r="H4" s="7"/>
      <c r="I4" s="7"/>
      <c r="J4" s="7"/>
      <c r="K4" s="7"/>
      <c r="L4" s="5"/>
    </row>
    <row r="5" spans="2:17" ht="30" customHeight="1" x14ac:dyDescent="0.5">
      <c r="B5" s="8"/>
      <c r="C5" s="9" t="s">
        <v>0</v>
      </c>
      <c r="D5" s="10"/>
      <c r="E5" s="10"/>
      <c r="F5" s="10"/>
      <c r="G5" s="10"/>
      <c r="H5" s="10"/>
      <c r="I5" s="10"/>
      <c r="J5" s="10"/>
      <c r="K5" s="193" t="s">
        <v>171</v>
      </c>
      <c r="L5" s="5"/>
      <c r="M5" s="11"/>
      <c r="N5" s="11"/>
      <c r="O5" s="11"/>
      <c r="P5" s="11"/>
      <c r="Q5" s="11"/>
    </row>
    <row r="6" spans="2:17" ht="11.25" customHeight="1" x14ac:dyDescent="0.5">
      <c r="B6" s="12"/>
      <c r="C6" s="13"/>
      <c r="D6" s="13"/>
      <c r="E6" s="13"/>
      <c r="F6" s="13"/>
      <c r="G6" s="13"/>
      <c r="H6" s="13"/>
      <c r="I6" s="13"/>
      <c r="J6" s="13"/>
      <c r="K6" s="13"/>
      <c r="L6" s="5"/>
      <c r="M6" s="11"/>
      <c r="N6" s="11"/>
      <c r="O6" s="11"/>
      <c r="P6" s="11"/>
      <c r="Q6" s="11"/>
    </row>
    <row r="7" spans="2:17" ht="15" customHeight="1" x14ac:dyDescent="0.25">
      <c r="B7" s="14"/>
      <c r="C7" s="225" t="s">
        <v>1</v>
      </c>
      <c r="D7" s="209"/>
      <c r="E7" s="210"/>
      <c r="F7" s="15"/>
      <c r="G7" s="226" t="str">
        <f>IF(E15&lt;0.03,"",IF(E15&lt;0.2,"Monthly PMI",IF(H9&gt;Calcs!AQ9,"Jumbo 30 Yr Fix","Conventional 30 Yr Fix")))</f>
        <v>Conventional 30 Yr Fix</v>
      </c>
      <c r="H7" s="210"/>
      <c r="I7" s="239"/>
      <c r="J7" s="226" t="s">
        <v>2</v>
      </c>
      <c r="K7" s="210"/>
      <c r="L7" s="5"/>
    </row>
    <row r="8" spans="2:17" ht="15" customHeight="1" x14ac:dyDescent="0.25">
      <c r="B8" s="14"/>
      <c r="C8" s="223"/>
      <c r="D8" s="216"/>
      <c r="E8" s="217"/>
      <c r="F8" s="15"/>
      <c r="G8" s="223"/>
      <c r="H8" s="217"/>
      <c r="I8" s="240"/>
      <c r="J8" s="223"/>
      <c r="K8" s="217"/>
      <c r="L8" s="5"/>
    </row>
    <row r="9" spans="2:17" x14ac:dyDescent="0.25">
      <c r="B9" s="16"/>
      <c r="C9" s="235" t="s">
        <v>3</v>
      </c>
      <c r="D9" s="203"/>
      <c r="E9" s="187">
        <v>750000</v>
      </c>
      <c r="F9" s="15"/>
      <c r="G9" s="17" t="s">
        <v>4</v>
      </c>
      <c r="H9" s="18">
        <f>E9*(1-E15)</f>
        <v>600000</v>
      </c>
      <c r="I9" s="19"/>
      <c r="J9" s="17" t="s">
        <v>4</v>
      </c>
      <c r="K9" s="18">
        <f t="shared" ref="K9:K10" si="0">H9</f>
        <v>600000</v>
      </c>
      <c r="L9" s="5"/>
    </row>
    <row r="10" spans="2:17" ht="15" customHeight="1" x14ac:dyDescent="0.25">
      <c r="B10" s="16"/>
      <c r="C10" s="229" t="s">
        <v>5</v>
      </c>
      <c r="D10" s="205"/>
      <c r="E10" s="185">
        <v>14000</v>
      </c>
      <c r="F10" s="15"/>
      <c r="G10" s="20" t="s">
        <v>6</v>
      </c>
      <c r="H10" s="21">
        <f>$E$9*$E$15</f>
        <v>150000</v>
      </c>
      <c r="I10" s="19"/>
      <c r="J10" s="20" t="s">
        <v>6</v>
      </c>
      <c r="K10" s="21">
        <f t="shared" si="0"/>
        <v>150000</v>
      </c>
      <c r="L10" s="5"/>
    </row>
    <row r="11" spans="2:17" ht="15" customHeight="1" x14ac:dyDescent="0.25">
      <c r="B11" s="16"/>
      <c r="C11" s="229" t="s">
        <v>7</v>
      </c>
      <c r="D11" s="205"/>
      <c r="E11" s="185">
        <v>1800</v>
      </c>
      <c r="F11" s="15"/>
      <c r="G11" s="20" t="s">
        <v>8</v>
      </c>
      <c r="H11" s="191">
        <v>6.25E-2</v>
      </c>
      <c r="I11" s="19"/>
      <c r="J11" s="20" t="s">
        <v>8</v>
      </c>
      <c r="K11" s="22">
        <f>MROUND(Calcs!C8*100,1/8)/100</f>
        <v>0</v>
      </c>
      <c r="L11" s="5"/>
      <c r="M11" s="23"/>
    </row>
    <row r="12" spans="2:17" ht="15" customHeight="1" x14ac:dyDescent="0.25">
      <c r="B12" s="16"/>
      <c r="C12" s="224" t="s">
        <v>167</v>
      </c>
      <c r="D12" s="207"/>
      <c r="E12" s="186">
        <v>0</v>
      </c>
      <c r="F12" s="15"/>
      <c r="G12" s="20" t="str">
        <f>IF($E$15&lt;0.2,"PMI Rate","")</f>
        <v/>
      </c>
      <c r="H12" s="24" t="str">
        <f>IF(E15&lt;0.2,Calcs!C7,"")</f>
        <v/>
      </c>
      <c r="I12" s="19"/>
      <c r="J12" s="236"/>
      <c r="K12" s="219"/>
      <c r="L12" s="5"/>
    </row>
    <row r="13" spans="2:17" ht="11.25" customHeight="1" x14ac:dyDescent="0.25">
      <c r="B13" s="14"/>
      <c r="C13" s="15"/>
      <c r="D13" s="15"/>
      <c r="E13" s="15"/>
      <c r="F13" s="15"/>
      <c r="G13" s="218"/>
      <c r="H13" s="219"/>
      <c r="I13" s="19"/>
      <c r="J13" s="230"/>
      <c r="K13" s="231"/>
      <c r="L13" s="5"/>
    </row>
    <row r="14" spans="2:17" ht="15" customHeight="1" x14ac:dyDescent="0.25">
      <c r="B14" s="16"/>
      <c r="C14" s="232" t="s">
        <v>9</v>
      </c>
      <c r="D14" s="200"/>
      <c r="E14" s="201"/>
      <c r="F14" s="15"/>
      <c r="G14" s="220" t="s">
        <v>10</v>
      </c>
      <c r="H14" s="201"/>
      <c r="I14" s="19"/>
      <c r="J14" s="220" t="s">
        <v>10</v>
      </c>
      <c r="K14" s="201"/>
      <c r="L14" s="5"/>
    </row>
    <row r="15" spans="2:17" ht="15" customHeight="1" x14ac:dyDescent="0.25">
      <c r="B15" s="16"/>
      <c r="C15" s="233" t="s">
        <v>6</v>
      </c>
      <c r="D15" s="234"/>
      <c r="E15" s="184">
        <v>0.2</v>
      </c>
      <c r="F15" s="15"/>
      <c r="G15" s="25" t="s">
        <v>11</v>
      </c>
      <c r="H15" s="26">
        <f>-PMT(H11/12,360,H9)</f>
        <v>3694.3032025583493</v>
      </c>
      <c r="I15" s="19"/>
      <c r="J15" s="25" t="s">
        <v>11</v>
      </c>
      <c r="K15" s="27">
        <f>-PMT(K11/12,360,K9)</f>
        <v>1666.6666666666667</v>
      </c>
      <c r="L15" s="5"/>
    </row>
    <row r="16" spans="2:17" ht="15" customHeight="1" x14ac:dyDescent="0.25">
      <c r="B16" s="14"/>
      <c r="C16" s="229" t="s">
        <v>12</v>
      </c>
      <c r="D16" s="205"/>
      <c r="E16" s="188">
        <v>771</v>
      </c>
      <c r="F16" s="15"/>
      <c r="G16" s="28" t="s">
        <v>13</v>
      </c>
      <c r="H16" s="29">
        <f t="shared" ref="H16:H17" si="1">E10/12</f>
        <v>1166.6666666666667</v>
      </c>
      <c r="I16" s="19"/>
      <c r="J16" s="28" t="s">
        <v>13</v>
      </c>
      <c r="K16" s="29">
        <f t="shared" ref="K16:K17" si="2">E10/12</f>
        <v>1166.6666666666667</v>
      </c>
      <c r="L16" s="5"/>
      <c r="N16" s="23"/>
    </row>
    <row r="17" spans="2:12" ht="15" customHeight="1" x14ac:dyDescent="0.25">
      <c r="B17" s="16"/>
      <c r="C17" s="229" t="s">
        <v>14</v>
      </c>
      <c r="D17" s="205"/>
      <c r="E17" s="189" t="s">
        <v>15</v>
      </c>
      <c r="F17" s="15"/>
      <c r="G17" s="28" t="s">
        <v>16</v>
      </c>
      <c r="H17" s="29">
        <f t="shared" si="1"/>
        <v>150</v>
      </c>
      <c r="I17" s="19"/>
      <c r="J17" s="28" t="s">
        <v>16</v>
      </c>
      <c r="K17" s="29">
        <f t="shared" si="2"/>
        <v>150</v>
      </c>
      <c r="L17" s="5"/>
    </row>
    <row r="18" spans="2:12" ht="15" customHeight="1" x14ac:dyDescent="0.25">
      <c r="B18" s="16"/>
      <c r="C18" s="229" t="s">
        <v>17</v>
      </c>
      <c r="D18" s="205"/>
      <c r="E18" s="189" t="s">
        <v>172</v>
      </c>
      <c r="F18" s="15"/>
      <c r="G18" s="28" t="s">
        <v>18</v>
      </c>
      <c r="H18" s="29">
        <f>E12</f>
        <v>0</v>
      </c>
      <c r="I18" s="19"/>
      <c r="J18" s="28" t="s">
        <v>18</v>
      </c>
      <c r="K18" s="29">
        <f>E12</f>
        <v>0</v>
      </c>
      <c r="L18" s="5"/>
    </row>
    <row r="19" spans="2:12" ht="15" customHeight="1" x14ac:dyDescent="0.25">
      <c r="B19" s="16"/>
      <c r="C19" s="229" t="s">
        <v>19</v>
      </c>
      <c r="D19" s="205"/>
      <c r="E19" s="189" t="s">
        <v>170</v>
      </c>
      <c r="F19" s="15"/>
      <c r="G19" s="28" t="str">
        <f>IF($E$15&lt;0.2,"PMI","")</f>
        <v/>
      </c>
      <c r="H19" s="30" t="str">
        <f>IF(E15&lt;0.2,H9*H12/12,"")</f>
        <v/>
      </c>
      <c r="I19" s="19"/>
      <c r="J19" s="218"/>
      <c r="K19" s="219"/>
      <c r="L19" s="5"/>
    </row>
    <row r="20" spans="2:12" ht="15" customHeight="1" x14ac:dyDescent="0.25">
      <c r="B20" s="16"/>
      <c r="C20" s="229" t="s">
        <v>20</v>
      </c>
      <c r="D20" s="205"/>
      <c r="E20" s="185">
        <v>5000</v>
      </c>
      <c r="F20" s="15"/>
      <c r="G20" s="218"/>
      <c r="H20" s="219"/>
      <c r="I20" s="19"/>
      <c r="J20" s="230"/>
      <c r="K20" s="231"/>
      <c r="L20" s="5"/>
    </row>
    <row r="21" spans="2:12" ht="15" customHeight="1" x14ac:dyDescent="0.25">
      <c r="B21" s="16"/>
      <c r="C21" s="224" t="s">
        <v>21</v>
      </c>
      <c r="D21" s="207"/>
      <c r="E21" s="186">
        <v>6324</v>
      </c>
      <c r="F21" s="15"/>
      <c r="G21" s="31" t="s">
        <v>22</v>
      </c>
      <c r="H21" s="32">
        <f>SUM(H15:H19)</f>
        <v>5010.9698692250158</v>
      </c>
      <c r="I21" s="19"/>
      <c r="J21" s="31" t="s">
        <v>22</v>
      </c>
      <c r="K21" s="32">
        <f>SUM(K15:K18)</f>
        <v>2983.3333333333335</v>
      </c>
      <c r="L21" s="5"/>
    </row>
    <row r="22" spans="2:12" ht="15" customHeight="1" x14ac:dyDescent="0.25">
      <c r="B22" s="16"/>
      <c r="C22" s="15"/>
      <c r="D22" s="15"/>
      <c r="E22" s="33"/>
      <c r="F22" s="15"/>
      <c r="G22" s="34" t="s">
        <v>23</v>
      </c>
      <c r="H22" s="35">
        <f>'Payment Summaries'!E32</f>
        <v>168332.83333333334</v>
      </c>
      <c r="I22" s="19"/>
      <c r="J22" s="34" t="s">
        <v>23</v>
      </c>
      <c r="K22" s="35">
        <f>E32-'Closing Cost Estimate'!G31+Calcs!AM10</f>
        <v>166770.33333333334</v>
      </c>
      <c r="L22" s="5"/>
    </row>
    <row r="23" spans="2:12" ht="11.25" customHeight="1" x14ac:dyDescent="0.25">
      <c r="B23" s="16"/>
      <c r="C23" s="15"/>
      <c r="D23" s="36"/>
      <c r="E23" s="36"/>
      <c r="F23" s="15"/>
      <c r="G23" s="15"/>
      <c r="H23" s="15"/>
      <c r="I23" s="19"/>
      <c r="J23" s="15"/>
      <c r="K23" s="15"/>
      <c r="L23" s="5"/>
    </row>
    <row r="24" spans="2:12" ht="15" customHeight="1" x14ac:dyDescent="0.25">
      <c r="B24" s="16"/>
      <c r="C24" s="225" t="s">
        <v>24</v>
      </c>
      <c r="D24" s="209"/>
      <c r="E24" s="210"/>
      <c r="F24" s="15"/>
      <c r="G24" s="226" t="s">
        <v>25</v>
      </c>
      <c r="H24" s="210"/>
      <c r="I24" s="19"/>
      <c r="J24" s="226" t="s">
        <v>26</v>
      </c>
      <c r="K24" s="210"/>
      <c r="L24" s="5"/>
    </row>
    <row r="25" spans="2:12" ht="15" customHeight="1" x14ac:dyDescent="0.25">
      <c r="B25" s="16"/>
      <c r="C25" s="223"/>
      <c r="D25" s="216"/>
      <c r="E25" s="217"/>
      <c r="F25" s="15"/>
      <c r="G25" s="223"/>
      <c r="H25" s="217"/>
      <c r="I25" s="19"/>
      <c r="J25" s="223"/>
      <c r="K25" s="217"/>
      <c r="L25" s="5"/>
    </row>
    <row r="26" spans="2:12" ht="15.75" customHeight="1" x14ac:dyDescent="0.25">
      <c r="B26" s="16"/>
      <c r="C26" s="227" t="s">
        <v>3</v>
      </c>
      <c r="D26" s="228"/>
      <c r="E26" s="37">
        <f>E9</f>
        <v>750000</v>
      </c>
      <c r="F26" s="15"/>
      <c r="G26" s="17" t="s">
        <v>4</v>
      </c>
      <c r="H26" s="38">
        <f t="shared" ref="H26:H28" si="3">H9</f>
        <v>600000</v>
      </c>
      <c r="I26" s="19"/>
      <c r="J26" s="17" t="s">
        <v>4</v>
      </c>
      <c r="K26" s="18">
        <f>H9+K30</f>
        <v>600000</v>
      </c>
      <c r="L26" s="5"/>
    </row>
    <row r="27" spans="2:12" ht="15" customHeight="1" x14ac:dyDescent="0.25">
      <c r="B27" s="16"/>
      <c r="C27" s="204" t="s">
        <v>27</v>
      </c>
      <c r="D27" s="205"/>
      <c r="E27" s="39">
        <f>H10</f>
        <v>150000</v>
      </c>
      <c r="F27" s="15"/>
      <c r="G27" s="20" t="s">
        <v>6</v>
      </c>
      <c r="H27" s="21">
        <f t="shared" si="3"/>
        <v>150000</v>
      </c>
      <c r="I27" s="19"/>
      <c r="J27" s="20" t="s">
        <v>6</v>
      </c>
      <c r="K27" s="21">
        <f t="shared" ref="K27:K28" si="4">H10</f>
        <v>150000</v>
      </c>
      <c r="L27" s="5"/>
    </row>
    <row r="28" spans="2:12" ht="15" customHeight="1" x14ac:dyDescent="0.25">
      <c r="B28" s="16"/>
      <c r="C28" s="204" t="s">
        <v>28</v>
      </c>
      <c r="D28" s="205"/>
      <c r="E28" s="39">
        <f>SUM('Closing Cost Estimate'!G21,'Closing Cost Estimate'!G26,'Closing Cost Estimate'!M10,'Closing Cost Estimate'!M13,'Closing Cost Estimate'!M18)</f>
        <v>8537</v>
      </c>
      <c r="F28" s="15"/>
      <c r="G28" s="20" t="s">
        <v>8</v>
      </c>
      <c r="H28" s="22">
        <f t="shared" si="3"/>
        <v>6.25E-2</v>
      </c>
      <c r="I28" s="19"/>
      <c r="J28" s="20" t="s">
        <v>8</v>
      </c>
      <c r="K28" s="22">
        <f t="shared" si="4"/>
        <v>6.25E-2</v>
      </c>
      <c r="L28" s="5"/>
    </row>
    <row r="29" spans="2:12" ht="15" customHeight="1" x14ac:dyDescent="0.25">
      <c r="B29" s="16"/>
      <c r="C29" s="204" t="s">
        <v>29</v>
      </c>
      <c r="D29" s="205"/>
      <c r="E29" s="39">
        <f>SUM('Closing Cost Estimate'!G29,'Closing Cost Estimate'!G33)</f>
        <v>9795.8333333333339</v>
      </c>
      <c r="F29" s="15"/>
      <c r="G29" s="20" t="s">
        <v>30</v>
      </c>
      <c r="H29" s="40">
        <f>Calcs!C9</f>
        <v>0</v>
      </c>
      <c r="I29" s="19"/>
      <c r="J29" s="20" t="s">
        <v>30</v>
      </c>
      <c r="K29" s="40">
        <f>Calcs!C10</f>
        <v>0</v>
      </c>
      <c r="L29" s="5"/>
    </row>
    <row r="30" spans="2:12" ht="15" customHeight="1" x14ac:dyDescent="0.25">
      <c r="B30" s="16"/>
      <c r="C30" s="204" t="s">
        <v>31</v>
      </c>
      <c r="D30" s="205"/>
      <c r="E30" s="190">
        <v>0</v>
      </c>
      <c r="F30" s="15"/>
      <c r="G30" s="20" t="s">
        <v>32</v>
      </c>
      <c r="H30" s="21">
        <f>H26*H29</f>
        <v>0</v>
      </c>
      <c r="I30" s="19"/>
      <c r="J30" s="20" t="s">
        <v>32</v>
      </c>
      <c r="K30" s="21">
        <f>(E9*0.9)*K29</f>
        <v>0</v>
      </c>
      <c r="L30" s="5"/>
    </row>
    <row r="31" spans="2:12" ht="11.25" customHeight="1" x14ac:dyDescent="0.25">
      <c r="B31" s="16"/>
      <c r="C31" s="215"/>
      <c r="D31" s="216"/>
      <c r="E31" s="217"/>
      <c r="F31" s="15"/>
      <c r="G31" s="218"/>
      <c r="H31" s="219"/>
      <c r="I31" s="19"/>
      <c r="J31" s="218"/>
      <c r="K31" s="219"/>
      <c r="L31" s="5"/>
    </row>
    <row r="32" spans="2:12" ht="15" customHeight="1" x14ac:dyDescent="0.25">
      <c r="B32" s="16"/>
      <c r="C32" s="197" t="s">
        <v>23</v>
      </c>
      <c r="D32" s="198"/>
      <c r="E32" s="42">
        <f>E27+E28+E29-E30</f>
        <v>168332.83333333334</v>
      </c>
      <c r="F32" s="15"/>
      <c r="G32" s="220" t="s">
        <v>10</v>
      </c>
      <c r="H32" s="201"/>
      <c r="I32" s="19"/>
      <c r="J32" s="220" t="s">
        <v>10</v>
      </c>
      <c r="K32" s="201"/>
      <c r="L32" s="5"/>
    </row>
    <row r="33" spans="2:12" ht="15" customHeight="1" x14ac:dyDescent="0.25">
      <c r="B33" s="16"/>
      <c r="C33" s="15"/>
      <c r="D33" s="15"/>
      <c r="E33" s="43"/>
      <c r="F33" s="15"/>
      <c r="G33" s="25" t="s">
        <v>11</v>
      </c>
      <c r="H33" s="27">
        <f>-PMT(H28/12,360,H26)</f>
        <v>3694.3032025583493</v>
      </c>
      <c r="I33" s="19"/>
      <c r="J33" s="25" t="s">
        <v>11</v>
      </c>
      <c r="K33" s="27">
        <f>-PMT(K28/12,360,K26)</f>
        <v>3694.3032025583493</v>
      </c>
      <c r="L33" s="5"/>
    </row>
    <row r="34" spans="2:12" ht="15" customHeight="1" x14ac:dyDescent="0.25">
      <c r="B34" s="16"/>
      <c r="C34" s="199" t="s">
        <v>33</v>
      </c>
      <c r="D34" s="200"/>
      <c r="E34" s="201"/>
      <c r="F34" s="15"/>
      <c r="G34" s="28" t="s">
        <v>13</v>
      </c>
      <c r="H34" s="29">
        <f t="shared" ref="H34:H35" si="5">E10/12</f>
        <v>1166.6666666666667</v>
      </c>
      <c r="I34" s="19"/>
      <c r="J34" s="28" t="s">
        <v>13</v>
      </c>
      <c r="K34" s="29">
        <f t="shared" ref="K34:K35" si="6">E10/12</f>
        <v>1166.6666666666667</v>
      </c>
      <c r="L34" s="5"/>
    </row>
    <row r="35" spans="2:12" ht="15" customHeight="1" x14ac:dyDescent="0.25">
      <c r="B35" s="16"/>
      <c r="C35" s="202" t="s">
        <v>34</v>
      </c>
      <c r="D35" s="203"/>
      <c r="E35" s="44"/>
      <c r="F35" s="15"/>
      <c r="G35" s="28" t="s">
        <v>16</v>
      </c>
      <c r="H35" s="29">
        <f t="shared" si="5"/>
        <v>150</v>
      </c>
      <c r="I35" s="19"/>
      <c r="J35" s="28" t="s">
        <v>16</v>
      </c>
      <c r="K35" s="29">
        <f t="shared" si="6"/>
        <v>150</v>
      </c>
      <c r="L35" s="5"/>
    </row>
    <row r="36" spans="2:12" ht="15" customHeight="1" x14ac:dyDescent="0.25">
      <c r="B36" s="16"/>
      <c r="C36" s="204" t="s">
        <v>35</v>
      </c>
      <c r="D36" s="205"/>
      <c r="E36" s="45"/>
      <c r="F36" s="15"/>
      <c r="G36" s="28" t="s">
        <v>18</v>
      </c>
      <c r="H36" s="29">
        <f>E12</f>
        <v>0</v>
      </c>
      <c r="I36" s="19"/>
      <c r="J36" s="28" t="s">
        <v>18</v>
      </c>
      <c r="K36" s="29">
        <f>E12</f>
        <v>0</v>
      </c>
      <c r="L36" s="5"/>
    </row>
    <row r="37" spans="2:12" ht="15" customHeight="1" x14ac:dyDescent="0.25">
      <c r="B37" s="16"/>
      <c r="C37" s="204" t="s">
        <v>36</v>
      </c>
      <c r="D37" s="205"/>
      <c r="E37" s="46"/>
      <c r="F37" s="15"/>
      <c r="G37" s="218"/>
      <c r="H37" s="219"/>
      <c r="I37" s="19"/>
      <c r="J37" s="218"/>
      <c r="K37" s="219"/>
      <c r="L37" s="5"/>
    </row>
    <row r="38" spans="2:12" ht="15" customHeight="1" x14ac:dyDescent="0.25">
      <c r="B38" s="16"/>
      <c r="C38" s="204" t="s">
        <v>37</v>
      </c>
      <c r="D38" s="205"/>
      <c r="E38" s="47"/>
      <c r="F38" s="15"/>
      <c r="G38" s="31" t="s">
        <v>22</v>
      </c>
      <c r="H38" s="32">
        <f>SUM(H33:H36)</f>
        <v>5010.9698692250158</v>
      </c>
      <c r="I38" s="19"/>
      <c r="J38" s="31" t="s">
        <v>22</v>
      </c>
      <c r="K38" s="32">
        <f>SUM(K33:K36)</f>
        <v>5010.9698692250158</v>
      </c>
      <c r="L38" s="5"/>
    </row>
    <row r="39" spans="2:12" ht="15" customHeight="1" x14ac:dyDescent="0.25">
      <c r="B39" s="16"/>
      <c r="C39" s="206" t="s">
        <v>38</v>
      </c>
      <c r="D39" s="207"/>
      <c r="E39" s="48"/>
      <c r="F39" s="15"/>
      <c r="G39" s="34" t="s">
        <v>23</v>
      </c>
      <c r="H39" s="35">
        <f>E32+H30</f>
        <v>168332.83333333334</v>
      </c>
      <c r="I39" s="19"/>
      <c r="J39" s="34" t="s">
        <v>23</v>
      </c>
      <c r="K39" s="35">
        <f>E32-'Closing Cost Estimate'!G31+Calcs!AM11</f>
        <v>168332.83333333334</v>
      </c>
      <c r="L39" s="5"/>
    </row>
    <row r="40" spans="2:12" ht="11.25" customHeight="1" x14ac:dyDescent="0.25">
      <c r="B40" s="16"/>
      <c r="C40" s="49"/>
      <c r="D40" s="49"/>
      <c r="E40" s="50"/>
      <c r="F40" s="15"/>
      <c r="G40" s="15"/>
      <c r="H40" s="51"/>
      <c r="I40" s="19"/>
      <c r="J40" s="15"/>
      <c r="K40" s="51"/>
      <c r="L40" s="5"/>
    </row>
    <row r="41" spans="2:12" ht="15" customHeight="1" x14ac:dyDescent="0.25">
      <c r="B41" s="16"/>
      <c r="C41" s="208" t="s">
        <v>39</v>
      </c>
      <c r="D41" s="209"/>
      <c r="E41" s="209"/>
      <c r="F41" s="210"/>
      <c r="G41" s="52" t="s">
        <v>40</v>
      </c>
      <c r="H41" s="52"/>
      <c r="I41" s="52"/>
      <c r="J41" s="52"/>
      <c r="K41" s="53"/>
      <c r="L41" s="5"/>
    </row>
    <row r="42" spans="2:12" ht="15.75" customHeight="1" x14ac:dyDescent="0.25">
      <c r="B42" s="16"/>
      <c r="C42" s="194" t="s">
        <v>41</v>
      </c>
      <c r="D42" s="195"/>
      <c r="E42" s="195"/>
      <c r="F42" s="196"/>
      <c r="G42" s="221"/>
      <c r="H42" s="209"/>
      <c r="I42" s="209"/>
      <c r="J42" s="209"/>
      <c r="K42" s="210"/>
      <c r="L42" s="5"/>
    </row>
    <row r="43" spans="2:12" ht="15.75" customHeight="1" x14ac:dyDescent="0.25">
      <c r="B43" s="16"/>
      <c r="C43" s="194" t="s">
        <v>42</v>
      </c>
      <c r="D43" s="195"/>
      <c r="E43" s="195"/>
      <c r="F43" s="196"/>
      <c r="G43" s="222"/>
      <c r="H43" s="195"/>
      <c r="I43" s="195"/>
      <c r="J43" s="195"/>
      <c r="K43" s="196"/>
      <c r="L43" s="5"/>
    </row>
    <row r="44" spans="2:12" ht="15.75" customHeight="1" x14ac:dyDescent="0.25">
      <c r="B44" s="16"/>
      <c r="C44" s="211" t="s">
        <v>43</v>
      </c>
      <c r="D44" s="195"/>
      <c r="E44" s="195"/>
      <c r="F44" s="196"/>
      <c r="G44" s="222"/>
      <c r="H44" s="195"/>
      <c r="I44" s="195"/>
      <c r="J44" s="195"/>
      <c r="K44" s="196"/>
      <c r="L44" s="5"/>
    </row>
    <row r="45" spans="2:12" ht="15.75" customHeight="1" x14ac:dyDescent="0.25">
      <c r="B45" s="16"/>
      <c r="C45" s="212" t="s">
        <v>169</v>
      </c>
      <c r="D45" s="213"/>
      <c r="E45" s="213"/>
      <c r="F45" s="214"/>
      <c r="G45" s="222"/>
      <c r="H45" s="195"/>
      <c r="I45" s="195"/>
      <c r="J45" s="195"/>
      <c r="K45" s="196"/>
      <c r="L45" s="5"/>
    </row>
    <row r="46" spans="2:12" ht="7.5" customHeight="1" x14ac:dyDescent="0.25">
      <c r="B46" s="16"/>
      <c r="C46" s="194"/>
      <c r="D46" s="195"/>
      <c r="E46" s="195"/>
      <c r="F46" s="196"/>
      <c r="G46" s="222"/>
      <c r="H46" s="195"/>
      <c r="I46" s="195"/>
      <c r="J46" s="195"/>
      <c r="K46" s="196"/>
      <c r="L46" s="5"/>
    </row>
    <row r="47" spans="2:12" ht="15.75" customHeight="1" x14ac:dyDescent="0.25">
      <c r="B47" s="16"/>
      <c r="C47" s="55"/>
      <c r="E47" s="56"/>
      <c r="F47" s="57"/>
      <c r="G47" s="222"/>
      <c r="H47" s="195"/>
      <c r="I47" s="195"/>
      <c r="J47" s="195"/>
      <c r="K47" s="196"/>
      <c r="L47" s="5"/>
    </row>
    <row r="48" spans="2:12" ht="15.75" customHeight="1" x14ac:dyDescent="0.25">
      <c r="B48" s="16"/>
      <c r="C48" s="58"/>
      <c r="D48" s="59"/>
      <c r="E48" s="60"/>
      <c r="F48" s="61"/>
      <c r="G48" s="223"/>
      <c r="H48" s="216"/>
      <c r="I48" s="216"/>
      <c r="J48" s="216"/>
      <c r="K48" s="217"/>
      <c r="L48" s="5"/>
    </row>
    <row r="49" spans="2:12" ht="11.25" customHeight="1" x14ac:dyDescent="0.25">
      <c r="B49" s="62"/>
      <c r="C49" s="63"/>
      <c r="D49" s="63"/>
      <c r="E49" s="63"/>
      <c r="F49" s="63"/>
      <c r="G49" s="63"/>
      <c r="H49" s="63"/>
      <c r="I49" s="63"/>
      <c r="J49" s="63"/>
      <c r="K49" s="63"/>
      <c r="L49" s="64"/>
    </row>
    <row r="50" spans="2:12" ht="15.75" customHeight="1" x14ac:dyDescent="0.25">
      <c r="E50" s="65"/>
      <c r="I50" s="56"/>
    </row>
    <row r="51" spans="2:12" ht="15.75" customHeight="1" x14ac:dyDescent="0.25">
      <c r="I51" s="56"/>
    </row>
    <row r="52" spans="2:12" ht="15.75" customHeight="1" x14ac:dyDescent="0.35">
      <c r="C52" s="66"/>
      <c r="D52" s="66"/>
      <c r="E52" s="56"/>
      <c r="I52" s="56"/>
    </row>
    <row r="53" spans="2:12" ht="15.75" customHeight="1" x14ac:dyDescent="0.35">
      <c r="C53" s="66"/>
      <c r="D53" s="66"/>
      <c r="E53" s="56"/>
      <c r="I53" s="56"/>
    </row>
    <row r="54" spans="2:12" ht="15.75" customHeight="1" x14ac:dyDescent="0.25">
      <c r="E54" s="56"/>
      <c r="I54" s="56"/>
    </row>
    <row r="55" spans="2:12" ht="15.75" customHeight="1" x14ac:dyDescent="0.25">
      <c r="C55" s="67"/>
      <c r="D55" s="67"/>
      <c r="E55" s="56"/>
      <c r="I55" s="56"/>
    </row>
    <row r="56" spans="2:12" ht="15.75" customHeight="1" x14ac:dyDescent="0.25">
      <c r="E56" s="56"/>
      <c r="G56" s="56"/>
      <c r="H56" s="56"/>
      <c r="I56" s="56"/>
    </row>
    <row r="57" spans="2:12" ht="15.75" customHeight="1" x14ac:dyDescent="0.25">
      <c r="E57" s="56"/>
      <c r="G57" s="56"/>
      <c r="H57" s="56"/>
      <c r="I57" s="56"/>
    </row>
    <row r="58" spans="2:12" ht="15.75" customHeight="1" x14ac:dyDescent="0.25">
      <c r="C58" s="67"/>
      <c r="D58" s="67"/>
      <c r="E58" s="56"/>
      <c r="G58" s="56"/>
      <c r="H58" s="56"/>
      <c r="I58" s="56"/>
    </row>
    <row r="59" spans="2:12" ht="15.75" customHeight="1" x14ac:dyDescent="0.25">
      <c r="E59" s="56"/>
      <c r="G59" s="56"/>
      <c r="H59" s="56"/>
      <c r="I59" s="56"/>
    </row>
    <row r="60" spans="2:12" ht="15.75" customHeight="1" x14ac:dyDescent="0.25">
      <c r="C60" s="68"/>
      <c r="D60" s="68"/>
      <c r="E60" s="65"/>
      <c r="G60" s="69"/>
      <c r="H60" s="69"/>
      <c r="I60" s="56"/>
    </row>
    <row r="61" spans="2:12" ht="15.75" customHeight="1" x14ac:dyDescent="0.25">
      <c r="C61" s="67"/>
      <c r="D61" s="67"/>
      <c r="E61" s="65"/>
      <c r="G61" s="56"/>
      <c r="H61" s="56"/>
      <c r="I61" s="56"/>
    </row>
    <row r="62" spans="2:12" ht="15.75" customHeight="1" x14ac:dyDescent="0.25">
      <c r="E62" s="65"/>
      <c r="G62" s="56"/>
      <c r="H62" s="56"/>
      <c r="I62" s="56"/>
    </row>
    <row r="63" spans="2:12" ht="15.75" customHeight="1" x14ac:dyDescent="0.25">
      <c r="E63" s="65"/>
      <c r="G63" s="69"/>
      <c r="H63" s="69"/>
      <c r="I63" s="56"/>
    </row>
    <row r="64" spans="2:12" ht="15.75" customHeight="1" x14ac:dyDescent="0.25">
      <c r="C64" s="67"/>
      <c r="D64" s="67"/>
      <c r="E64" s="65"/>
      <c r="I64" s="56"/>
    </row>
    <row r="65" spans="5:9" ht="15.75" customHeight="1" x14ac:dyDescent="0.25">
      <c r="E65" s="65"/>
      <c r="I65" s="56"/>
    </row>
    <row r="66" spans="5:9" ht="15.75" customHeight="1" x14ac:dyDescent="0.25">
      <c r="E66" s="65"/>
      <c r="G66" s="70"/>
      <c r="H66" s="70"/>
      <c r="I66" s="56"/>
    </row>
    <row r="67" spans="5:9" ht="15.75" customHeight="1" x14ac:dyDescent="0.25">
      <c r="E67" s="65"/>
      <c r="I67" s="56"/>
    </row>
    <row r="68" spans="5:9" ht="15.75" customHeight="1" x14ac:dyDescent="0.25">
      <c r="E68" s="65"/>
      <c r="I68" s="56"/>
    </row>
    <row r="69" spans="5:9" ht="15.75" customHeight="1" x14ac:dyDescent="0.25">
      <c r="E69" s="65"/>
      <c r="G69" s="70"/>
      <c r="H69" s="70"/>
      <c r="I69" s="56"/>
    </row>
    <row r="70" spans="5:9" ht="15.75" customHeight="1" x14ac:dyDescent="0.25">
      <c r="E70" s="65"/>
      <c r="I70" s="56"/>
    </row>
    <row r="71" spans="5:9" ht="15.75" customHeight="1" x14ac:dyDescent="0.25">
      <c r="E71" s="65"/>
      <c r="I71" s="56"/>
    </row>
    <row r="72" spans="5:9" ht="15.75" customHeight="1" x14ac:dyDescent="0.25">
      <c r="E72" s="65"/>
      <c r="I72" s="56"/>
    </row>
    <row r="73" spans="5:9" ht="15.75" customHeight="1" x14ac:dyDescent="0.25">
      <c r="E73" s="65"/>
      <c r="I73" s="56"/>
    </row>
    <row r="74" spans="5:9" ht="15.75" customHeight="1" x14ac:dyDescent="0.25">
      <c r="E74" s="65"/>
      <c r="I74" s="56"/>
    </row>
    <row r="75" spans="5:9" ht="15.75" customHeight="1" x14ac:dyDescent="0.25">
      <c r="E75" s="65"/>
      <c r="I75" s="56"/>
    </row>
    <row r="76" spans="5:9" ht="15.75" customHeight="1" x14ac:dyDescent="0.25">
      <c r="E76" s="65"/>
      <c r="I76" s="56"/>
    </row>
    <row r="77" spans="5:9" ht="15.75" customHeight="1" x14ac:dyDescent="0.25">
      <c r="E77" s="65"/>
      <c r="I77" s="56"/>
    </row>
    <row r="78" spans="5:9" ht="15.75" customHeight="1" x14ac:dyDescent="0.25">
      <c r="E78" s="65"/>
      <c r="I78" s="56"/>
    </row>
    <row r="79" spans="5:9" ht="15.75" customHeight="1" x14ac:dyDescent="0.25">
      <c r="E79" s="65"/>
      <c r="I79" s="56"/>
    </row>
    <row r="80" spans="5:9" ht="15.75" customHeight="1" x14ac:dyDescent="0.25">
      <c r="E80" s="65"/>
      <c r="I80" s="56"/>
    </row>
    <row r="81" spans="5:9" ht="15.75" customHeight="1" x14ac:dyDescent="0.25">
      <c r="E81" s="65"/>
      <c r="I81" s="56"/>
    </row>
    <row r="82" spans="5:9" ht="15.75" customHeight="1" x14ac:dyDescent="0.25">
      <c r="E82" s="65"/>
      <c r="I82" s="56"/>
    </row>
    <row r="83" spans="5:9" ht="15.75" customHeight="1" x14ac:dyDescent="0.25">
      <c r="E83" s="65"/>
      <c r="I83" s="56"/>
    </row>
    <row r="84" spans="5:9" ht="15.75" customHeight="1" x14ac:dyDescent="0.25">
      <c r="E84" s="65"/>
      <c r="I84" s="56"/>
    </row>
    <row r="85" spans="5:9" ht="15.75" customHeight="1" x14ac:dyDescent="0.25">
      <c r="E85" s="65"/>
      <c r="I85" s="56"/>
    </row>
    <row r="86" spans="5:9" ht="15.75" customHeight="1" x14ac:dyDescent="0.25">
      <c r="E86" s="65"/>
      <c r="I86" s="56"/>
    </row>
    <row r="87" spans="5:9" ht="15.75" customHeight="1" x14ac:dyDescent="0.25">
      <c r="E87" s="65"/>
      <c r="I87" s="56"/>
    </row>
    <row r="88" spans="5:9" ht="15.75" customHeight="1" x14ac:dyDescent="0.25">
      <c r="E88" s="65"/>
      <c r="I88" s="56"/>
    </row>
    <row r="89" spans="5:9" ht="15.75" customHeight="1" x14ac:dyDescent="0.25">
      <c r="E89" s="65"/>
      <c r="I89" s="56"/>
    </row>
    <row r="90" spans="5:9" ht="15.75" customHeight="1" x14ac:dyDescent="0.25">
      <c r="E90" s="65"/>
      <c r="I90" s="56"/>
    </row>
    <row r="91" spans="5:9" ht="15.75" customHeight="1" x14ac:dyDescent="0.25">
      <c r="E91" s="65"/>
      <c r="I91" s="56"/>
    </row>
    <row r="92" spans="5:9" ht="15.75" customHeight="1" x14ac:dyDescent="0.25">
      <c r="E92" s="65"/>
      <c r="I92" s="56"/>
    </row>
    <row r="93" spans="5:9" ht="15.75" customHeight="1" x14ac:dyDescent="0.25">
      <c r="E93" s="65"/>
      <c r="I93" s="56"/>
    </row>
    <row r="94" spans="5:9" ht="15.75" customHeight="1" x14ac:dyDescent="0.25">
      <c r="E94" s="65"/>
      <c r="I94" s="56"/>
    </row>
    <row r="95" spans="5:9" ht="15.75" customHeight="1" x14ac:dyDescent="0.25">
      <c r="E95" s="65"/>
      <c r="I95" s="56"/>
    </row>
    <row r="96" spans="5:9" ht="15.75" customHeight="1" x14ac:dyDescent="0.25">
      <c r="E96" s="65"/>
      <c r="I96" s="56"/>
    </row>
    <row r="97" spans="5:9" ht="15.75" customHeight="1" x14ac:dyDescent="0.25">
      <c r="E97" s="65"/>
      <c r="I97" s="56"/>
    </row>
    <row r="98" spans="5:9" ht="15.75" customHeight="1" x14ac:dyDescent="0.25">
      <c r="E98" s="65"/>
      <c r="I98" s="56"/>
    </row>
    <row r="99" spans="5:9" ht="15.75" customHeight="1" x14ac:dyDescent="0.25">
      <c r="E99" s="65"/>
      <c r="I99" s="56"/>
    </row>
    <row r="100" spans="5:9" ht="15.75" customHeight="1" x14ac:dyDescent="0.25">
      <c r="E100" s="65"/>
      <c r="I100" s="56"/>
    </row>
    <row r="101" spans="5:9" ht="15.75" customHeight="1" x14ac:dyDescent="0.25">
      <c r="E101" s="65"/>
      <c r="I101" s="56"/>
    </row>
    <row r="102" spans="5:9" ht="15.75" customHeight="1" x14ac:dyDescent="0.25">
      <c r="E102" s="65"/>
      <c r="I102" s="56"/>
    </row>
    <row r="103" spans="5:9" ht="15.75" customHeight="1" x14ac:dyDescent="0.25">
      <c r="E103" s="65"/>
      <c r="I103" s="56"/>
    </row>
    <row r="104" spans="5:9" ht="15.75" customHeight="1" x14ac:dyDescent="0.25">
      <c r="E104" s="65"/>
      <c r="I104" s="56"/>
    </row>
    <row r="105" spans="5:9" ht="15.75" customHeight="1" x14ac:dyDescent="0.25">
      <c r="E105" s="65"/>
      <c r="I105" s="56"/>
    </row>
    <row r="106" spans="5:9" ht="15.75" customHeight="1" x14ac:dyDescent="0.25">
      <c r="E106" s="65"/>
      <c r="I106" s="56"/>
    </row>
    <row r="107" spans="5:9" ht="15.75" customHeight="1" x14ac:dyDescent="0.25">
      <c r="E107" s="65"/>
      <c r="I107" s="56"/>
    </row>
    <row r="108" spans="5:9" ht="15.75" customHeight="1" x14ac:dyDescent="0.25">
      <c r="E108" s="65"/>
      <c r="I108" s="56"/>
    </row>
    <row r="109" spans="5:9" ht="15.75" customHeight="1" x14ac:dyDescent="0.25">
      <c r="E109" s="65"/>
      <c r="I109" s="56"/>
    </row>
    <row r="110" spans="5:9" ht="15.75" customHeight="1" x14ac:dyDescent="0.25">
      <c r="E110" s="65"/>
      <c r="I110" s="56"/>
    </row>
    <row r="111" spans="5:9" ht="15.75" customHeight="1" x14ac:dyDescent="0.25">
      <c r="E111" s="65"/>
      <c r="I111" s="56"/>
    </row>
    <row r="112" spans="5:9" ht="15.75" customHeight="1" x14ac:dyDescent="0.25">
      <c r="E112" s="65"/>
      <c r="I112" s="56"/>
    </row>
    <row r="113" spans="5:9" ht="15.75" customHeight="1" x14ac:dyDescent="0.25">
      <c r="E113" s="65"/>
      <c r="I113" s="56"/>
    </row>
    <row r="114" spans="5:9" ht="15.75" customHeight="1" x14ac:dyDescent="0.25">
      <c r="E114" s="65"/>
      <c r="I114" s="56"/>
    </row>
    <row r="115" spans="5:9" ht="15.75" customHeight="1" x14ac:dyDescent="0.25">
      <c r="E115" s="65"/>
      <c r="I115" s="56"/>
    </row>
    <row r="116" spans="5:9" ht="15.75" customHeight="1" x14ac:dyDescent="0.25">
      <c r="E116" s="65"/>
      <c r="I116" s="56"/>
    </row>
    <row r="117" spans="5:9" ht="15.75" customHeight="1" x14ac:dyDescent="0.25">
      <c r="E117" s="65"/>
      <c r="I117" s="56"/>
    </row>
    <row r="118" spans="5:9" ht="15.75" customHeight="1" x14ac:dyDescent="0.25">
      <c r="E118" s="65"/>
      <c r="I118" s="56"/>
    </row>
    <row r="119" spans="5:9" ht="15.75" customHeight="1" x14ac:dyDescent="0.25">
      <c r="E119" s="65"/>
      <c r="I119" s="56"/>
    </row>
    <row r="120" spans="5:9" ht="15.75" customHeight="1" x14ac:dyDescent="0.25">
      <c r="E120" s="65"/>
      <c r="I120" s="56"/>
    </row>
    <row r="121" spans="5:9" ht="15.75" customHeight="1" x14ac:dyDescent="0.25">
      <c r="E121" s="65"/>
      <c r="I121" s="56"/>
    </row>
    <row r="122" spans="5:9" ht="15.75" customHeight="1" x14ac:dyDescent="0.25">
      <c r="E122" s="65"/>
      <c r="I122" s="56"/>
    </row>
    <row r="123" spans="5:9" ht="15.75" customHeight="1" x14ac:dyDescent="0.25">
      <c r="E123" s="65"/>
      <c r="I123" s="56"/>
    </row>
    <row r="124" spans="5:9" ht="15.75" customHeight="1" x14ac:dyDescent="0.25">
      <c r="E124" s="65"/>
      <c r="I124" s="56"/>
    </row>
    <row r="125" spans="5:9" ht="15.75" customHeight="1" x14ac:dyDescent="0.25">
      <c r="E125" s="65"/>
      <c r="I125" s="56"/>
    </row>
    <row r="126" spans="5:9" ht="15.75" customHeight="1" x14ac:dyDescent="0.25">
      <c r="E126" s="65"/>
      <c r="I126" s="56"/>
    </row>
    <row r="127" spans="5:9" ht="15.75" customHeight="1" x14ac:dyDescent="0.25">
      <c r="E127" s="65"/>
      <c r="I127" s="56"/>
    </row>
    <row r="128" spans="5:9" ht="15.75" customHeight="1" x14ac:dyDescent="0.25">
      <c r="E128" s="65"/>
      <c r="I128" s="56"/>
    </row>
    <row r="129" spans="5:9" ht="15.75" customHeight="1" x14ac:dyDescent="0.25">
      <c r="E129" s="65"/>
      <c r="I129" s="56"/>
    </row>
    <row r="130" spans="5:9" ht="15.75" customHeight="1" x14ac:dyDescent="0.25">
      <c r="E130" s="65"/>
      <c r="I130" s="56"/>
    </row>
    <row r="131" spans="5:9" ht="15.75" customHeight="1" x14ac:dyDescent="0.25">
      <c r="E131" s="65"/>
      <c r="I131" s="56"/>
    </row>
    <row r="132" spans="5:9" ht="15.75" customHeight="1" x14ac:dyDescent="0.25">
      <c r="E132" s="65"/>
      <c r="I132" s="56"/>
    </row>
    <row r="133" spans="5:9" ht="15.75" customHeight="1" x14ac:dyDescent="0.25">
      <c r="E133" s="65"/>
      <c r="I133" s="56"/>
    </row>
    <row r="134" spans="5:9" ht="15.75" customHeight="1" x14ac:dyDescent="0.25">
      <c r="E134" s="65"/>
      <c r="I134" s="56"/>
    </row>
    <row r="135" spans="5:9" ht="15.75" customHeight="1" x14ac:dyDescent="0.25">
      <c r="E135" s="65"/>
      <c r="I135" s="56"/>
    </row>
    <row r="136" spans="5:9" ht="15.75" customHeight="1" x14ac:dyDescent="0.25">
      <c r="E136" s="65"/>
      <c r="I136" s="56"/>
    </row>
    <row r="137" spans="5:9" ht="15.75" customHeight="1" x14ac:dyDescent="0.25">
      <c r="E137" s="65"/>
      <c r="I137" s="56"/>
    </row>
    <row r="138" spans="5:9" ht="15.75" customHeight="1" x14ac:dyDescent="0.25">
      <c r="E138" s="65"/>
      <c r="I138" s="56"/>
    </row>
    <row r="139" spans="5:9" ht="15.75" customHeight="1" x14ac:dyDescent="0.25">
      <c r="E139" s="65"/>
      <c r="I139" s="56"/>
    </row>
    <row r="140" spans="5:9" ht="15.75" customHeight="1" x14ac:dyDescent="0.25">
      <c r="E140" s="65"/>
      <c r="I140" s="56"/>
    </row>
    <row r="141" spans="5:9" ht="15.75" customHeight="1" x14ac:dyDescent="0.25">
      <c r="E141" s="65"/>
      <c r="I141" s="56"/>
    </row>
    <row r="142" spans="5:9" ht="15.75" customHeight="1" x14ac:dyDescent="0.25">
      <c r="E142" s="65"/>
      <c r="I142" s="56"/>
    </row>
    <row r="143" spans="5:9" ht="15.75" customHeight="1" x14ac:dyDescent="0.25">
      <c r="E143" s="65"/>
      <c r="I143" s="56"/>
    </row>
    <row r="144" spans="5:9" ht="15.75" customHeight="1" x14ac:dyDescent="0.25">
      <c r="E144" s="65"/>
      <c r="I144" s="56"/>
    </row>
    <row r="145" spans="5:9" ht="15.75" customHeight="1" x14ac:dyDescent="0.25">
      <c r="E145" s="65"/>
      <c r="I145" s="56"/>
    </row>
    <row r="146" spans="5:9" ht="15.75" customHeight="1" x14ac:dyDescent="0.25">
      <c r="E146" s="65"/>
      <c r="I146" s="56"/>
    </row>
    <row r="147" spans="5:9" ht="15.75" customHeight="1" x14ac:dyDescent="0.25">
      <c r="E147" s="65"/>
      <c r="I147" s="56"/>
    </row>
    <row r="148" spans="5:9" ht="15.75" customHeight="1" x14ac:dyDescent="0.25">
      <c r="E148" s="65"/>
      <c r="I148" s="56"/>
    </row>
    <row r="149" spans="5:9" ht="15.75" customHeight="1" x14ac:dyDescent="0.25">
      <c r="E149" s="65"/>
      <c r="I149" s="56"/>
    </row>
    <row r="150" spans="5:9" ht="15.75" customHeight="1" x14ac:dyDescent="0.25">
      <c r="E150" s="65"/>
      <c r="I150" s="56"/>
    </row>
    <row r="151" spans="5:9" ht="15.75" customHeight="1" x14ac:dyDescent="0.25">
      <c r="E151" s="65"/>
      <c r="I151" s="56"/>
    </row>
    <row r="152" spans="5:9" ht="15.75" customHeight="1" x14ac:dyDescent="0.25">
      <c r="E152" s="65"/>
      <c r="I152" s="56"/>
    </row>
    <row r="153" spans="5:9" ht="15.75" customHeight="1" x14ac:dyDescent="0.25">
      <c r="E153" s="65"/>
      <c r="I153" s="56"/>
    </row>
    <row r="154" spans="5:9" ht="15.75" customHeight="1" x14ac:dyDescent="0.25">
      <c r="E154" s="65"/>
      <c r="I154" s="56"/>
    </row>
    <row r="155" spans="5:9" ht="15.75" customHeight="1" x14ac:dyDescent="0.25">
      <c r="E155" s="65"/>
      <c r="I155" s="56"/>
    </row>
    <row r="156" spans="5:9" ht="15.75" customHeight="1" x14ac:dyDescent="0.25">
      <c r="E156" s="65"/>
      <c r="I156" s="56"/>
    </row>
    <row r="157" spans="5:9" ht="15.75" customHeight="1" x14ac:dyDescent="0.25">
      <c r="E157" s="65"/>
      <c r="I157" s="56"/>
    </row>
    <row r="158" spans="5:9" ht="15.75" customHeight="1" x14ac:dyDescent="0.25">
      <c r="E158" s="65"/>
      <c r="I158" s="56"/>
    </row>
    <row r="159" spans="5:9" ht="15.75" customHeight="1" x14ac:dyDescent="0.25">
      <c r="E159" s="65"/>
      <c r="I159" s="56"/>
    </row>
    <row r="160" spans="5:9" ht="15.75" customHeight="1" x14ac:dyDescent="0.25">
      <c r="E160" s="65"/>
      <c r="I160" s="56"/>
    </row>
    <row r="161" spans="5:9" ht="15.75" customHeight="1" x14ac:dyDescent="0.25">
      <c r="E161" s="65"/>
      <c r="I161" s="56"/>
    </row>
    <row r="162" spans="5:9" ht="15.75" customHeight="1" x14ac:dyDescent="0.25">
      <c r="E162" s="65"/>
      <c r="I162" s="56"/>
    </row>
    <row r="163" spans="5:9" ht="15.75" customHeight="1" x14ac:dyDescent="0.25">
      <c r="E163" s="65"/>
      <c r="I163" s="56"/>
    </row>
    <row r="164" spans="5:9" ht="15.75" customHeight="1" x14ac:dyDescent="0.25">
      <c r="E164" s="65"/>
      <c r="I164" s="56"/>
    </row>
    <row r="165" spans="5:9" ht="15.75" customHeight="1" x14ac:dyDescent="0.25">
      <c r="E165" s="65"/>
      <c r="I165" s="56"/>
    </row>
    <row r="166" spans="5:9" ht="15.75" customHeight="1" x14ac:dyDescent="0.25">
      <c r="E166" s="65"/>
      <c r="I166" s="56"/>
    </row>
    <row r="167" spans="5:9" ht="15.75" customHeight="1" x14ac:dyDescent="0.25">
      <c r="E167" s="65"/>
      <c r="I167" s="56"/>
    </row>
    <row r="168" spans="5:9" ht="15.75" customHeight="1" x14ac:dyDescent="0.25">
      <c r="E168" s="65"/>
      <c r="I168" s="56"/>
    </row>
    <row r="169" spans="5:9" ht="15.75" customHeight="1" x14ac:dyDescent="0.25">
      <c r="E169" s="65"/>
      <c r="I169" s="56"/>
    </row>
    <row r="170" spans="5:9" ht="15.75" customHeight="1" x14ac:dyDescent="0.25">
      <c r="E170" s="65"/>
      <c r="I170" s="56"/>
    </row>
    <row r="171" spans="5:9" ht="15.75" customHeight="1" x14ac:dyDescent="0.25">
      <c r="E171" s="65"/>
      <c r="I171" s="56"/>
    </row>
    <row r="172" spans="5:9" ht="15.75" customHeight="1" x14ac:dyDescent="0.25">
      <c r="E172" s="65"/>
      <c r="I172" s="56"/>
    </row>
    <row r="173" spans="5:9" ht="15.75" customHeight="1" x14ac:dyDescent="0.25">
      <c r="E173" s="65"/>
      <c r="I173" s="56"/>
    </row>
    <row r="174" spans="5:9" ht="15.75" customHeight="1" x14ac:dyDescent="0.25">
      <c r="E174" s="65"/>
      <c r="I174" s="56"/>
    </row>
    <row r="175" spans="5:9" ht="15.75" customHeight="1" x14ac:dyDescent="0.25">
      <c r="E175" s="65"/>
      <c r="I175" s="56"/>
    </row>
    <row r="176" spans="5:9" ht="15.75" customHeight="1" x14ac:dyDescent="0.25">
      <c r="E176" s="65"/>
      <c r="I176" s="56"/>
    </row>
    <row r="177" spans="5:9" ht="15.75" customHeight="1" x14ac:dyDescent="0.25">
      <c r="E177" s="65"/>
      <c r="I177" s="56"/>
    </row>
    <row r="178" spans="5:9" ht="15.75" customHeight="1" x14ac:dyDescent="0.25">
      <c r="E178" s="65"/>
      <c r="I178" s="56"/>
    </row>
    <row r="179" spans="5:9" ht="15.75" customHeight="1" x14ac:dyDescent="0.25">
      <c r="E179" s="65"/>
      <c r="I179" s="56"/>
    </row>
    <row r="180" spans="5:9" ht="15.75" customHeight="1" x14ac:dyDescent="0.25">
      <c r="E180" s="65"/>
      <c r="I180" s="56"/>
    </row>
    <row r="181" spans="5:9" ht="15.75" customHeight="1" x14ac:dyDescent="0.25">
      <c r="E181" s="65"/>
      <c r="I181" s="56"/>
    </row>
    <row r="182" spans="5:9" ht="15.75" customHeight="1" x14ac:dyDescent="0.25">
      <c r="E182" s="65"/>
      <c r="I182" s="56"/>
    </row>
    <row r="183" spans="5:9" ht="15.75" customHeight="1" x14ac:dyDescent="0.25">
      <c r="E183" s="65"/>
      <c r="I183" s="56"/>
    </row>
    <row r="184" spans="5:9" ht="15.75" customHeight="1" x14ac:dyDescent="0.25">
      <c r="E184" s="65"/>
      <c r="I184" s="56"/>
    </row>
    <row r="185" spans="5:9" ht="15.75" customHeight="1" x14ac:dyDescent="0.25">
      <c r="E185" s="65"/>
      <c r="I185" s="56"/>
    </row>
    <row r="186" spans="5:9" ht="15.75" customHeight="1" x14ac:dyDescent="0.25">
      <c r="E186" s="65"/>
      <c r="I186" s="56"/>
    </row>
    <row r="187" spans="5:9" ht="15.75" customHeight="1" x14ac:dyDescent="0.25">
      <c r="E187" s="65"/>
      <c r="I187" s="56"/>
    </row>
    <row r="188" spans="5:9" ht="15.75" customHeight="1" x14ac:dyDescent="0.25">
      <c r="E188" s="65"/>
      <c r="I188" s="56"/>
    </row>
    <row r="189" spans="5:9" ht="15.75" customHeight="1" x14ac:dyDescent="0.25">
      <c r="E189" s="65"/>
      <c r="I189" s="56"/>
    </row>
    <row r="190" spans="5:9" ht="15.75" customHeight="1" x14ac:dyDescent="0.25">
      <c r="E190" s="65"/>
      <c r="I190" s="56"/>
    </row>
    <row r="191" spans="5:9" ht="15.75" customHeight="1" x14ac:dyDescent="0.25">
      <c r="E191" s="65"/>
      <c r="I191" s="56"/>
    </row>
    <row r="192" spans="5:9" ht="15.75" customHeight="1" x14ac:dyDescent="0.25">
      <c r="E192" s="65"/>
      <c r="I192" s="56"/>
    </row>
    <row r="193" spans="5:9" ht="15.75" customHeight="1" x14ac:dyDescent="0.25">
      <c r="E193" s="65"/>
      <c r="I193" s="56"/>
    </row>
    <row r="194" spans="5:9" ht="15.75" customHeight="1" x14ac:dyDescent="0.25">
      <c r="E194" s="65"/>
      <c r="I194" s="56"/>
    </row>
    <row r="195" spans="5:9" ht="15.75" customHeight="1" x14ac:dyDescent="0.25">
      <c r="E195" s="65"/>
      <c r="I195" s="56"/>
    </row>
    <row r="196" spans="5:9" ht="15.75" customHeight="1" x14ac:dyDescent="0.25">
      <c r="E196" s="65"/>
      <c r="I196" s="56"/>
    </row>
    <row r="197" spans="5:9" ht="15.75" customHeight="1" x14ac:dyDescent="0.25">
      <c r="E197" s="65"/>
      <c r="I197" s="56"/>
    </row>
    <row r="198" spans="5:9" ht="15.75" customHeight="1" x14ac:dyDescent="0.25">
      <c r="E198" s="65"/>
      <c r="I198" s="56"/>
    </row>
    <row r="199" spans="5:9" ht="15.75" customHeight="1" x14ac:dyDescent="0.25">
      <c r="E199" s="65"/>
      <c r="I199" s="56"/>
    </row>
    <row r="200" spans="5:9" ht="15.75" customHeight="1" x14ac:dyDescent="0.25">
      <c r="E200" s="65"/>
      <c r="I200" s="56"/>
    </row>
    <row r="201" spans="5:9" ht="15.75" customHeight="1" x14ac:dyDescent="0.25">
      <c r="E201" s="65"/>
      <c r="I201" s="56"/>
    </row>
    <row r="202" spans="5:9" ht="15.75" customHeight="1" x14ac:dyDescent="0.25">
      <c r="E202" s="65"/>
      <c r="I202" s="56"/>
    </row>
    <row r="203" spans="5:9" ht="15.75" customHeight="1" x14ac:dyDescent="0.25">
      <c r="E203" s="65"/>
      <c r="I203" s="56"/>
    </row>
    <row r="204" spans="5:9" ht="15.75" customHeight="1" x14ac:dyDescent="0.25">
      <c r="E204" s="65"/>
      <c r="I204" s="56"/>
    </row>
    <row r="205" spans="5:9" ht="15.75" customHeight="1" x14ac:dyDescent="0.25">
      <c r="E205" s="65"/>
      <c r="I205" s="56"/>
    </row>
    <row r="206" spans="5:9" ht="15.75" customHeight="1" x14ac:dyDescent="0.25">
      <c r="E206" s="65"/>
      <c r="I206" s="56"/>
    </row>
    <row r="207" spans="5:9" ht="15.75" customHeight="1" x14ac:dyDescent="0.25">
      <c r="E207" s="65"/>
      <c r="I207" s="56"/>
    </row>
    <row r="208" spans="5:9" ht="15.75" customHeight="1" x14ac:dyDescent="0.25">
      <c r="E208" s="65"/>
      <c r="I208" s="56"/>
    </row>
    <row r="209" spans="5:9" ht="15.75" customHeight="1" x14ac:dyDescent="0.25">
      <c r="E209" s="65"/>
      <c r="I209" s="56"/>
    </row>
    <row r="210" spans="5:9" ht="15.75" customHeight="1" x14ac:dyDescent="0.25">
      <c r="E210" s="65"/>
      <c r="I210" s="56"/>
    </row>
    <row r="211" spans="5:9" ht="15.75" customHeight="1" x14ac:dyDescent="0.25">
      <c r="E211" s="65"/>
      <c r="I211" s="56"/>
    </row>
    <row r="212" spans="5:9" ht="15.75" customHeight="1" x14ac:dyDescent="0.25">
      <c r="E212" s="65"/>
      <c r="I212" s="56"/>
    </row>
    <row r="213" spans="5:9" ht="15.75" customHeight="1" x14ac:dyDescent="0.25">
      <c r="E213" s="65"/>
      <c r="I213" s="56"/>
    </row>
    <row r="214" spans="5:9" ht="15.75" customHeight="1" x14ac:dyDescent="0.25">
      <c r="E214" s="65"/>
      <c r="I214" s="56"/>
    </row>
    <row r="215" spans="5:9" ht="15.75" customHeight="1" x14ac:dyDescent="0.25">
      <c r="E215" s="65"/>
      <c r="I215" s="56"/>
    </row>
    <row r="216" spans="5:9" ht="15.75" customHeight="1" x14ac:dyDescent="0.25">
      <c r="E216" s="65"/>
      <c r="I216" s="56"/>
    </row>
    <row r="217" spans="5:9" ht="15.75" customHeight="1" x14ac:dyDescent="0.25">
      <c r="E217" s="65"/>
      <c r="I217" s="56"/>
    </row>
    <row r="218" spans="5:9" ht="15.75" customHeight="1" x14ac:dyDescent="0.25">
      <c r="E218" s="65"/>
      <c r="I218" s="56"/>
    </row>
    <row r="219" spans="5:9" ht="15.75" customHeight="1" x14ac:dyDescent="0.25">
      <c r="E219" s="65"/>
      <c r="I219" s="56"/>
    </row>
    <row r="220" spans="5:9" ht="15.75" customHeight="1" x14ac:dyDescent="0.25">
      <c r="E220" s="65"/>
      <c r="I220" s="56"/>
    </row>
    <row r="221" spans="5:9" ht="15.75" customHeight="1" x14ac:dyDescent="0.25">
      <c r="E221" s="65"/>
      <c r="I221" s="56"/>
    </row>
    <row r="222" spans="5:9" ht="15.75" customHeight="1" x14ac:dyDescent="0.25">
      <c r="E222" s="65"/>
      <c r="I222" s="56"/>
    </row>
    <row r="223" spans="5:9" ht="15.75" customHeight="1" x14ac:dyDescent="0.25">
      <c r="E223" s="65"/>
      <c r="I223" s="56"/>
    </row>
    <row r="224" spans="5:9" ht="15.75" customHeight="1" x14ac:dyDescent="0.25">
      <c r="E224" s="65"/>
      <c r="I224" s="56"/>
    </row>
    <row r="225" spans="5:9" ht="15.75" customHeight="1" x14ac:dyDescent="0.25">
      <c r="E225" s="65"/>
      <c r="I225" s="56"/>
    </row>
    <row r="226" spans="5:9" ht="15.75" customHeight="1" x14ac:dyDescent="0.25">
      <c r="E226" s="65"/>
      <c r="I226" s="56"/>
    </row>
    <row r="227" spans="5:9" ht="15.75" customHeight="1" x14ac:dyDescent="0.25">
      <c r="E227" s="65"/>
      <c r="I227" s="56"/>
    </row>
    <row r="228" spans="5:9" ht="15.75" customHeight="1" x14ac:dyDescent="0.25">
      <c r="E228" s="65"/>
      <c r="I228" s="56"/>
    </row>
    <row r="229" spans="5:9" ht="15.75" customHeight="1" x14ac:dyDescent="0.25">
      <c r="E229" s="65"/>
      <c r="I229" s="56"/>
    </row>
    <row r="230" spans="5:9" ht="15.75" customHeight="1" x14ac:dyDescent="0.25">
      <c r="E230" s="65"/>
      <c r="I230" s="56"/>
    </row>
    <row r="231" spans="5:9" ht="15.75" customHeight="1" x14ac:dyDescent="0.25">
      <c r="E231" s="65"/>
      <c r="I231" s="56"/>
    </row>
    <row r="232" spans="5:9" ht="15.75" customHeight="1" x14ac:dyDescent="0.25">
      <c r="E232" s="65"/>
      <c r="I232" s="56"/>
    </row>
    <row r="233" spans="5:9" ht="15.75" customHeight="1" x14ac:dyDescent="0.25">
      <c r="E233" s="65"/>
      <c r="I233" s="56"/>
    </row>
    <row r="234" spans="5:9" ht="15.75" customHeight="1" x14ac:dyDescent="0.25">
      <c r="E234" s="65"/>
      <c r="I234" s="56"/>
    </row>
    <row r="235" spans="5:9" ht="15.75" customHeight="1" x14ac:dyDescent="0.25">
      <c r="E235" s="65"/>
      <c r="I235" s="56"/>
    </row>
    <row r="236" spans="5:9" ht="15.75" customHeight="1" x14ac:dyDescent="0.25">
      <c r="E236" s="65"/>
      <c r="I236" s="56"/>
    </row>
    <row r="237" spans="5:9" ht="15.75" customHeight="1" x14ac:dyDescent="0.25">
      <c r="E237" s="65"/>
      <c r="I237" s="56"/>
    </row>
    <row r="238" spans="5:9" ht="15.75" customHeight="1" x14ac:dyDescent="0.25">
      <c r="E238" s="65"/>
      <c r="I238" s="56"/>
    </row>
    <row r="239" spans="5:9" ht="15.75" customHeight="1" x14ac:dyDescent="0.25">
      <c r="E239" s="65"/>
      <c r="I239" s="56"/>
    </row>
    <row r="240" spans="5:9" ht="15.75" customHeight="1" x14ac:dyDescent="0.25">
      <c r="E240" s="65"/>
      <c r="I240" s="56"/>
    </row>
    <row r="241" spans="5:9" ht="15.75" customHeight="1" x14ac:dyDescent="0.25">
      <c r="E241" s="65"/>
      <c r="I241" s="56"/>
    </row>
    <row r="242" spans="5:9" ht="15.75" customHeight="1" x14ac:dyDescent="0.25">
      <c r="E242" s="65"/>
      <c r="I242" s="56"/>
    </row>
    <row r="243" spans="5:9" ht="15.75" customHeight="1" x14ac:dyDescent="0.25">
      <c r="E243" s="65"/>
      <c r="I243" s="56"/>
    </row>
    <row r="244" spans="5:9" ht="15.75" customHeight="1" x14ac:dyDescent="0.25">
      <c r="E244" s="65"/>
      <c r="I244" s="56"/>
    </row>
    <row r="245" spans="5:9" ht="15.75" customHeight="1" x14ac:dyDescent="0.25">
      <c r="E245" s="65"/>
      <c r="I245" s="56"/>
    </row>
    <row r="246" spans="5:9" ht="15.75" customHeight="1" x14ac:dyDescent="0.25">
      <c r="E246" s="65"/>
      <c r="I246" s="56"/>
    </row>
    <row r="247" spans="5:9" ht="15.75" customHeight="1" x14ac:dyDescent="0.25">
      <c r="E247" s="65"/>
      <c r="I247" s="56"/>
    </row>
    <row r="248" spans="5:9" ht="15.75" customHeight="1" x14ac:dyDescent="0.25">
      <c r="E248" s="65"/>
      <c r="I248" s="56"/>
    </row>
    <row r="249" spans="5:9" ht="15.75" customHeight="1" x14ac:dyDescent="0.25">
      <c r="E249" s="65"/>
      <c r="I249" s="56"/>
    </row>
    <row r="250" spans="5:9" ht="15.75" customHeight="1" x14ac:dyDescent="0.25">
      <c r="E250" s="65"/>
      <c r="I250" s="56"/>
    </row>
    <row r="251" spans="5:9" ht="15.75" customHeight="1" x14ac:dyDescent="0.25">
      <c r="E251" s="65"/>
      <c r="I251" s="56"/>
    </row>
    <row r="252" spans="5:9" ht="15.75" customHeight="1" x14ac:dyDescent="0.25">
      <c r="E252" s="65"/>
      <c r="I252" s="56"/>
    </row>
    <row r="253" spans="5:9" ht="15.75" customHeight="1" x14ac:dyDescent="0.25">
      <c r="E253" s="65"/>
      <c r="I253" s="56"/>
    </row>
    <row r="254" spans="5:9" ht="15.75" customHeight="1" x14ac:dyDescent="0.25">
      <c r="E254" s="65"/>
      <c r="I254" s="56"/>
    </row>
    <row r="255" spans="5:9" ht="15.75" customHeight="1" x14ac:dyDescent="0.25">
      <c r="E255" s="65"/>
      <c r="I255" s="56"/>
    </row>
    <row r="256" spans="5:9" ht="15.75" customHeight="1" x14ac:dyDescent="0.25">
      <c r="E256" s="65"/>
      <c r="I256" s="56"/>
    </row>
    <row r="257" spans="5:9" ht="15.75" customHeight="1" x14ac:dyDescent="0.25">
      <c r="E257" s="65"/>
      <c r="I257" s="56"/>
    </row>
    <row r="258" spans="5:9" ht="15.75" customHeight="1" x14ac:dyDescent="0.25">
      <c r="E258" s="65"/>
      <c r="I258" s="56"/>
    </row>
    <row r="259" spans="5:9" ht="15.75" customHeight="1" x14ac:dyDescent="0.25">
      <c r="E259" s="65"/>
      <c r="I259" s="56"/>
    </row>
    <row r="260" spans="5:9" ht="15.75" customHeight="1" x14ac:dyDescent="0.25">
      <c r="E260" s="65"/>
      <c r="I260" s="56"/>
    </row>
    <row r="261" spans="5:9" ht="15.75" customHeight="1" x14ac:dyDescent="0.25">
      <c r="E261" s="65"/>
      <c r="I261" s="56"/>
    </row>
    <row r="262" spans="5:9" ht="15.75" customHeight="1" x14ac:dyDescent="0.25">
      <c r="E262" s="65"/>
      <c r="I262" s="56"/>
    </row>
    <row r="263" spans="5:9" ht="15.75" customHeight="1" x14ac:dyDescent="0.25">
      <c r="E263" s="65"/>
      <c r="I263" s="56"/>
    </row>
    <row r="264" spans="5:9" ht="15.75" customHeight="1" x14ac:dyDescent="0.25">
      <c r="E264" s="65"/>
      <c r="I264" s="56"/>
    </row>
    <row r="265" spans="5:9" ht="15.75" customHeight="1" x14ac:dyDescent="0.25">
      <c r="E265" s="65"/>
      <c r="I265" s="56"/>
    </row>
    <row r="266" spans="5:9" ht="15.75" customHeight="1" x14ac:dyDescent="0.25">
      <c r="E266" s="65"/>
      <c r="I266" s="56"/>
    </row>
    <row r="267" spans="5:9" ht="15.75" customHeight="1" x14ac:dyDescent="0.25">
      <c r="E267" s="65"/>
      <c r="I267" s="56"/>
    </row>
    <row r="268" spans="5:9" ht="15.75" customHeight="1" x14ac:dyDescent="0.25">
      <c r="E268" s="65"/>
      <c r="I268" s="56"/>
    </row>
    <row r="269" spans="5:9" ht="15.75" customHeight="1" x14ac:dyDescent="0.25">
      <c r="E269" s="65"/>
      <c r="I269" s="56"/>
    </row>
    <row r="270" spans="5:9" ht="15.75" customHeight="1" x14ac:dyDescent="0.25">
      <c r="E270" s="65"/>
      <c r="I270" s="56"/>
    </row>
    <row r="271" spans="5:9" ht="15.75" customHeight="1" x14ac:dyDescent="0.25">
      <c r="E271" s="65"/>
      <c r="I271" s="56"/>
    </row>
    <row r="272" spans="5:9" ht="15.75" customHeight="1" x14ac:dyDescent="0.25">
      <c r="E272" s="65"/>
      <c r="I272" s="56"/>
    </row>
    <row r="273" spans="5:9" ht="15.75" customHeight="1" x14ac:dyDescent="0.25">
      <c r="E273" s="65"/>
      <c r="I273" s="56"/>
    </row>
    <row r="274" spans="5:9" ht="15.75" customHeight="1" x14ac:dyDescent="0.25">
      <c r="E274" s="65"/>
      <c r="I274" s="56"/>
    </row>
    <row r="275" spans="5:9" ht="15.75" customHeight="1" x14ac:dyDescent="0.25">
      <c r="E275" s="65"/>
      <c r="I275" s="56"/>
    </row>
    <row r="276" spans="5:9" ht="15.75" customHeight="1" x14ac:dyDescent="0.25">
      <c r="E276" s="65"/>
      <c r="I276" s="56"/>
    </row>
    <row r="277" spans="5:9" ht="15.75" customHeight="1" x14ac:dyDescent="0.25">
      <c r="E277" s="65"/>
      <c r="I277" s="56"/>
    </row>
    <row r="278" spans="5:9" ht="15.75" customHeight="1" x14ac:dyDescent="0.25">
      <c r="E278" s="65"/>
      <c r="I278" s="56"/>
    </row>
    <row r="279" spans="5:9" ht="15.75" customHeight="1" x14ac:dyDescent="0.25">
      <c r="E279" s="65"/>
      <c r="I279" s="56"/>
    </row>
    <row r="280" spans="5:9" ht="15.75" customHeight="1" x14ac:dyDescent="0.25">
      <c r="E280" s="65"/>
      <c r="I280" s="56"/>
    </row>
    <row r="281" spans="5:9" ht="15.75" customHeight="1" x14ac:dyDescent="0.25">
      <c r="E281" s="65"/>
      <c r="I281" s="56"/>
    </row>
    <row r="282" spans="5:9" ht="15.75" customHeight="1" x14ac:dyDescent="0.25">
      <c r="E282" s="65"/>
      <c r="I282" s="56"/>
    </row>
    <row r="283" spans="5:9" ht="15.75" customHeight="1" x14ac:dyDescent="0.25">
      <c r="E283" s="65"/>
      <c r="I283" s="56"/>
    </row>
    <row r="284" spans="5:9" ht="15.75" customHeight="1" x14ac:dyDescent="0.25">
      <c r="E284" s="65"/>
      <c r="I284" s="56"/>
    </row>
    <row r="285" spans="5:9" ht="15.75" customHeight="1" x14ac:dyDescent="0.25">
      <c r="E285" s="65"/>
      <c r="I285" s="56"/>
    </row>
    <row r="286" spans="5:9" ht="15.75" customHeight="1" x14ac:dyDescent="0.25">
      <c r="E286" s="65"/>
      <c r="I286" s="56"/>
    </row>
    <row r="287" spans="5:9" ht="15.75" customHeight="1" x14ac:dyDescent="0.25">
      <c r="E287" s="65"/>
      <c r="I287" s="56"/>
    </row>
    <row r="288" spans="5:9" ht="15.75" customHeight="1" x14ac:dyDescent="0.25">
      <c r="E288" s="65"/>
      <c r="I288" s="56"/>
    </row>
    <row r="289" spans="5:9" ht="15.75" customHeight="1" x14ac:dyDescent="0.25">
      <c r="E289" s="65"/>
      <c r="I289" s="56"/>
    </row>
    <row r="290" spans="5:9" ht="15.75" customHeight="1" x14ac:dyDescent="0.25">
      <c r="E290" s="65"/>
      <c r="I290" s="56"/>
    </row>
    <row r="291" spans="5:9" ht="15.75" customHeight="1" x14ac:dyDescent="0.25">
      <c r="E291" s="65"/>
      <c r="I291" s="56"/>
    </row>
    <row r="292" spans="5:9" ht="15.75" customHeight="1" x14ac:dyDescent="0.25">
      <c r="E292" s="65"/>
      <c r="I292" s="56"/>
    </row>
    <row r="293" spans="5:9" ht="15.75" customHeight="1" x14ac:dyDescent="0.25">
      <c r="E293" s="65"/>
      <c r="I293" s="56"/>
    </row>
    <row r="294" spans="5:9" ht="15.75" customHeight="1" x14ac:dyDescent="0.25">
      <c r="E294" s="65"/>
      <c r="I294" s="56"/>
    </row>
    <row r="295" spans="5:9" ht="15.75" customHeight="1" x14ac:dyDescent="0.25">
      <c r="E295" s="65"/>
      <c r="I295" s="56"/>
    </row>
    <row r="296" spans="5:9" ht="15.75" customHeight="1" x14ac:dyDescent="0.25">
      <c r="E296" s="65"/>
      <c r="I296" s="56"/>
    </row>
    <row r="297" spans="5:9" ht="15.75" customHeight="1" x14ac:dyDescent="0.25">
      <c r="E297" s="65"/>
      <c r="I297" s="56"/>
    </row>
    <row r="298" spans="5:9" ht="15.75" customHeight="1" x14ac:dyDescent="0.25">
      <c r="E298" s="65"/>
      <c r="I298" s="56"/>
    </row>
    <row r="299" spans="5:9" ht="15.75" customHeight="1" x14ac:dyDescent="0.25">
      <c r="E299" s="65"/>
      <c r="I299" s="56"/>
    </row>
    <row r="300" spans="5:9" ht="15.75" customHeight="1" x14ac:dyDescent="0.25">
      <c r="E300" s="65"/>
      <c r="I300" s="56"/>
    </row>
    <row r="301" spans="5:9" ht="15.75" customHeight="1" x14ac:dyDescent="0.25">
      <c r="E301" s="65"/>
      <c r="I301" s="56"/>
    </row>
    <row r="302" spans="5:9" ht="15.75" customHeight="1" x14ac:dyDescent="0.25">
      <c r="E302" s="65"/>
      <c r="I302" s="56"/>
    </row>
    <row r="303" spans="5:9" ht="15.75" customHeight="1" x14ac:dyDescent="0.25">
      <c r="E303" s="65"/>
      <c r="I303" s="56"/>
    </row>
    <row r="304" spans="5:9" ht="15.75" customHeight="1" x14ac:dyDescent="0.25">
      <c r="E304" s="65"/>
      <c r="I304" s="56"/>
    </row>
    <row r="305" spans="5:9" ht="15.75" customHeight="1" x14ac:dyDescent="0.25">
      <c r="E305" s="65"/>
      <c r="I305" s="56"/>
    </row>
    <row r="306" spans="5:9" ht="15.75" customHeight="1" x14ac:dyDescent="0.25">
      <c r="E306" s="65"/>
      <c r="I306" s="56"/>
    </row>
    <row r="307" spans="5:9" ht="15.75" customHeight="1" x14ac:dyDescent="0.25">
      <c r="E307" s="65"/>
      <c r="I307" s="56"/>
    </row>
    <row r="308" spans="5:9" ht="15.75" customHeight="1" x14ac:dyDescent="0.25">
      <c r="E308" s="65"/>
      <c r="I308" s="56"/>
    </row>
    <row r="309" spans="5:9" ht="15.75" customHeight="1" x14ac:dyDescent="0.25">
      <c r="E309" s="65"/>
      <c r="I309" s="56"/>
    </row>
    <row r="310" spans="5:9" ht="15.75" customHeight="1" x14ac:dyDescent="0.25">
      <c r="E310" s="65"/>
      <c r="I310" s="56"/>
    </row>
    <row r="311" spans="5:9" ht="15.75" customHeight="1" x14ac:dyDescent="0.25">
      <c r="E311" s="65"/>
      <c r="I311" s="56"/>
    </row>
    <row r="312" spans="5:9" ht="15.75" customHeight="1" x14ac:dyDescent="0.25">
      <c r="E312" s="65"/>
      <c r="I312" s="56"/>
    </row>
    <row r="313" spans="5:9" ht="15.75" customHeight="1" x14ac:dyDescent="0.25">
      <c r="E313" s="65"/>
      <c r="I313" s="56"/>
    </row>
    <row r="314" spans="5:9" ht="15.75" customHeight="1" x14ac:dyDescent="0.25">
      <c r="E314" s="65"/>
      <c r="I314" s="56"/>
    </row>
    <row r="315" spans="5:9" ht="15.75" customHeight="1" x14ac:dyDescent="0.25">
      <c r="E315" s="65"/>
      <c r="I315" s="56"/>
    </row>
    <row r="316" spans="5:9" ht="15.75" customHeight="1" x14ac:dyDescent="0.25">
      <c r="E316" s="65"/>
      <c r="I316" s="56"/>
    </row>
    <row r="317" spans="5:9" ht="15.75" customHeight="1" x14ac:dyDescent="0.25">
      <c r="E317" s="65"/>
      <c r="I317" s="56"/>
    </row>
    <row r="318" spans="5:9" ht="15.75" customHeight="1" x14ac:dyDescent="0.25">
      <c r="E318" s="65"/>
      <c r="I318" s="56"/>
    </row>
    <row r="319" spans="5:9" ht="15.75" customHeight="1" x14ac:dyDescent="0.25">
      <c r="E319" s="65"/>
      <c r="I319" s="56"/>
    </row>
    <row r="320" spans="5:9" ht="15.75" customHeight="1" x14ac:dyDescent="0.25">
      <c r="E320" s="65"/>
      <c r="I320" s="56"/>
    </row>
    <row r="321" spans="5:9" ht="15.75" customHeight="1" x14ac:dyDescent="0.25">
      <c r="E321" s="65"/>
      <c r="I321" s="56"/>
    </row>
    <row r="322" spans="5:9" ht="15.75" customHeight="1" x14ac:dyDescent="0.25">
      <c r="E322" s="65"/>
      <c r="I322" s="56"/>
    </row>
    <row r="323" spans="5:9" ht="15.75" customHeight="1" x14ac:dyDescent="0.25">
      <c r="E323" s="65"/>
      <c r="I323" s="56"/>
    </row>
    <row r="324" spans="5:9" ht="15.75" customHeight="1" x14ac:dyDescent="0.25">
      <c r="E324" s="65"/>
      <c r="I324" s="56"/>
    </row>
    <row r="325" spans="5:9" ht="15.75" customHeight="1" x14ac:dyDescent="0.25">
      <c r="E325" s="65"/>
      <c r="I325" s="56"/>
    </row>
    <row r="326" spans="5:9" ht="15.75" customHeight="1" x14ac:dyDescent="0.25">
      <c r="E326" s="65"/>
      <c r="I326" s="56"/>
    </row>
    <row r="327" spans="5:9" ht="15.75" customHeight="1" x14ac:dyDescent="0.25">
      <c r="E327" s="65"/>
      <c r="I327" s="56"/>
    </row>
    <row r="328" spans="5:9" ht="15.75" customHeight="1" x14ac:dyDescent="0.25">
      <c r="E328" s="65"/>
      <c r="I328" s="56"/>
    </row>
    <row r="329" spans="5:9" ht="15.75" customHeight="1" x14ac:dyDescent="0.25">
      <c r="E329" s="65"/>
      <c r="I329" s="56"/>
    </row>
    <row r="330" spans="5:9" ht="15.75" customHeight="1" x14ac:dyDescent="0.25">
      <c r="E330" s="65"/>
      <c r="I330" s="56"/>
    </row>
    <row r="331" spans="5:9" ht="15.75" customHeight="1" x14ac:dyDescent="0.25">
      <c r="E331" s="65"/>
      <c r="I331" s="56"/>
    </row>
    <row r="332" spans="5:9" ht="15.75" customHeight="1" x14ac:dyDescent="0.25">
      <c r="E332" s="65"/>
      <c r="I332" s="56"/>
    </row>
    <row r="333" spans="5:9" ht="15.75" customHeight="1" x14ac:dyDescent="0.25">
      <c r="E333" s="65"/>
      <c r="I333" s="56"/>
    </row>
    <row r="334" spans="5:9" ht="15.75" customHeight="1" x14ac:dyDescent="0.25">
      <c r="E334" s="65"/>
      <c r="I334" s="56"/>
    </row>
    <row r="335" spans="5:9" ht="15.75" customHeight="1" x14ac:dyDescent="0.25">
      <c r="E335" s="65"/>
      <c r="I335" s="56"/>
    </row>
    <row r="336" spans="5:9" ht="15.75" customHeight="1" x14ac:dyDescent="0.25">
      <c r="E336" s="65"/>
      <c r="I336" s="56"/>
    </row>
    <row r="337" spans="5:9" ht="15.75" customHeight="1" x14ac:dyDescent="0.25">
      <c r="E337" s="65"/>
      <c r="I337" s="56"/>
    </row>
    <row r="338" spans="5:9" ht="15.75" customHeight="1" x14ac:dyDescent="0.25">
      <c r="E338" s="65"/>
      <c r="I338" s="56"/>
    </row>
    <row r="339" spans="5:9" ht="15.75" customHeight="1" x14ac:dyDescent="0.25">
      <c r="E339" s="65"/>
      <c r="I339" s="56"/>
    </row>
    <row r="340" spans="5:9" ht="15.75" customHeight="1" x14ac:dyDescent="0.25">
      <c r="E340" s="65"/>
      <c r="I340" s="56"/>
    </row>
    <row r="341" spans="5:9" ht="15.75" customHeight="1" x14ac:dyDescent="0.25">
      <c r="E341" s="65"/>
      <c r="I341" s="56"/>
    </row>
    <row r="342" spans="5:9" ht="15.75" customHeight="1" x14ac:dyDescent="0.25">
      <c r="E342" s="65"/>
      <c r="I342" s="56"/>
    </row>
    <row r="343" spans="5:9" ht="15.75" customHeight="1" x14ac:dyDescent="0.25">
      <c r="E343" s="65"/>
      <c r="I343" s="56"/>
    </row>
    <row r="344" spans="5:9" ht="15.75" customHeight="1" x14ac:dyDescent="0.25">
      <c r="E344" s="65"/>
      <c r="I344" s="56"/>
    </row>
    <row r="345" spans="5:9" ht="15.75" customHeight="1" x14ac:dyDescent="0.25">
      <c r="E345" s="65"/>
      <c r="I345" s="56"/>
    </row>
    <row r="346" spans="5:9" ht="15.75" customHeight="1" x14ac:dyDescent="0.25">
      <c r="E346" s="65"/>
      <c r="I346" s="56"/>
    </row>
    <row r="347" spans="5:9" ht="15.75" customHeight="1" x14ac:dyDescent="0.25">
      <c r="E347" s="65"/>
      <c r="I347" s="56"/>
    </row>
    <row r="348" spans="5:9" ht="15.75" customHeight="1" x14ac:dyDescent="0.25">
      <c r="E348" s="65"/>
      <c r="I348" s="56"/>
    </row>
    <row r="349" spans="5:9" ht="15.75" customHeight="1" x14ac:dyDescent="0.25">
      <c r="E349" s="65"/>
      <c r="I349" s="56"/>
    </row>
    <row r="350" spans="5:9" ht="15.75" customHeight="1" x14ac:dyDescent="0.25">
      <c r="E350" s="65"/>
      <c r="I350" s="56"/>
    </row>
    <row r="351" spans="5:9" ht="15.75" customHeight="1" x14ac:dyDescent="0.25">
      <c r="E351" s="65"/>
      <c r="I351" s="56"/>
    </row>
    <row r="352" spans="5:9" ht="15.75" customHeight="1" x14ac:dyDescent="0.25">
      <c r="E352" s="65"/>
      <c r="I352" s="56"/>
    </row>
    <row r="353" spans="5:9" ht="15.75" customHeight="1" x14ac:dyDescent="0.25">
      <c r="E353" s="65"/>
      <c r="I353" s="56"/>
    </row>
    <row r="354" spans="5:9" ht="15.75" customHeight="1" x14ac:dyDescent="0.25">
      <c r="E354" s="65"/>
      <c r="I354" s="56"/>
    </row>
    <row r="355" spans="5:9" ht="15.75" customHeight="1" x14ac:dyDescent="0.25">
      <c r="E355" s="65"/>
      <c r="I355" s="56"/>
    </row>
    <row r="356" spans="5:9" ht="15.75" customHeight="1" x14ac:dyDescent="0.25">
      <c r="E356" s="65"/>
      <c r="I356" s="56"/>
    </row>
    <row r="357" spans="5:9" ht="15.75" customHeight="1" x14ac:dyDescent="0.25">
      <c r="E357" s="65"/>
      <c r="I357" s="56"/>
    </row>
    <row r="358" spans="5:9" ht="15.75" customHeight="1" x14ac:dyDescent="0.25">
      <c r="E358" s="65"/>
      <c r="I358" s="56"/>
    </row>
    <row r="359" spans="5:9" ht="15.75" customHeight="1" x14ac:dyDescent="0.25">
      <c r="E359" s="65"/>
      <c r="I359" s="56"/>
    </row>
    <row r="360" spans="5:9" ht="15.75" customHeight="1" x14ac:dyDescent="0.25">
      <c r="E360" s="65"/>
      <c r="I360" s="56"/>
    </row>
    <row r="361" spans="5:9" ht="15.75" customHeight="1" x14ac:dyDescent="0.25">
      <c r="E361" s="65"/>
      <c r="I361" s="56"/>
    </row>
    <row r="362" spans="5:9" ht="15.75" customHeight="1" x14ac:dyDescent="0.25">
      <c r="E362" s="65"/>
      <c r="I362" s="56"/>
    </row>
    <row r="363" spans="5:9" ht="15.75" customHeight="1" x14ac:dyDescent="0.25">
      <c r="E363" s="65"/>
      <c r="I363" s="56"/>
    </row>
    <row r="364" spans="5:9" ht="15.75" customHeight="1" x14ac:dyDescent="0.25">
      <c r="E364" s="65"/>
      <c r="I364" s="56"/>
    </row>
    <row r="365" spans="5:9" ht="15.75" customHeight="1" x14ac:dyDescent="0.25">
      <c r="E365" s="65"/>
      <c r="I365" s="56"/>
    </row>
    <row r="366" spans="5:9" ht="15.75" customHeight="1" x14ac:dyDescent="0.25">
      <c r="E366" s="65"/>
      <c r="I366" s="56"/>
    </row>
    <row r="367" spans="5:9" ht="15.75" customHeight="1" x14ac:dyDescent="0.25">
      <c r="E367" s="65"/>
      <c r="I367" s="56"/>
    </row>
    <row r="368" spans="5:9" ht="15.75" customHeight="1" x14ac:dyDescent="0.25">
      <c r="E368" s="65"/>
      <c r="I368" s="56"/>
    </row>
    <row r="369" spans="5:9" ht="15.75" customHeight="1" x14ac:dyDescent="0.25">
      <c r="E369" s="65"/>
      <c r="I369" s="56"/>
    </row>
    <row r="370" spans="5:9" ht="15.75" customHeight="1" x14ac:dyDescent="0.25">
      <c r="E370" s="65"/>
      <c r="I370" s="56"/>
    </row>
    <row r="371" spans="5:9" ht="15.75" customHeight="1" x14ac:dyDescent="0.25">
      <c r="E371" s="65"/>
      <c r="I371" s="56"/>
    </row>
    <row r="372" spans="5:9" ht="15.75" customHeight="1" x14ac:dyDescent="0.25">
      <c r="E372" s="65"/>
      <c r="I372" s="56"/>
    </row>
    <row r="373" spans="5:9" ht="15.75" customHeight="1" x14ac:dyDescent="0.25">
      <c r="E373" s="65"/>
      <c r="I373" s="56"/>
    </row>
    <row r="374" spans="5:9" ht="15.75" customHeight="1" x14ac:dyDescent="0.25">
      <c r="E374" s="65"/>
      <c r="I374" s="56"/>
    </row>
    <row r="375" spans="5:9" ht="15.75" customHeight="1" x14ac:dyDescent="0.25">
      <c r="E375" s="65"/>
      <c r="I375" s="56"/>
    </row>
    <row r="376" spans="5:9" ht="15.75" customHeight="1" x14ac:dyDescent="0.25">
      <c r="E376" s="65"/>
      <c r="I376" s="56"/>
    </row>
    <row r="377" spans="5:9" ht="15.75" customHeight="1" x14ac:dyDescent="0.25">
      <c r="E377" s="65"/>
      <c r="I377" s="56"/>
    </row>
    <row r="378" spans="5:9" ht="15.75" customHeight="1" x14ac:dyDescent="0.25">
      <c r="E378" s="65"/>
      <c r="I378" s="56"/>
    </row>
    <row r="379" spans="5:9" ht="15.75" customHeight="1" x14ac:dyDescent="0.25">
      <c r="E379" s="65"/>
      <c r="I379" s="56"/>
    </row>
    <row r="380" spans="5:9" ht="15.75" customHeight="1" x14ac:dyDescent="0.25">
      <c r="E380" s="65"/>
      <c r="I380" s="56"/>
    </row>
    <row r="381" spans="5:9" ht="15.75" customHeight="1" x14ac:dyDescent="0.25">
      <c r="E381" s="65"/>
      <c r="I381" s="56"/>
    </row>
    <row r="382" spans="5:9" ht="15.75" customHeight="1" x14ac:dyDescent="0.25">
      <c r="E382" s="65"/>
      <c r="I382" s="56"/>
    </row>
    <row r="383" spans="5:9" ht="15.75" customHeight="1" x14ac:dyDescent="0.25">
      <c r="E383" s="65"/>
      <c r="I383" s="56"/>
    </row>
    <row r="384" spans="5:9" ht="15.75" customHeight="1" x14ac:dyDescent="0.25">
      <c r="E384" s="65"/>
      <c r="I384" s="56"/>
    </row>
    <row r="385" spans="5:9" ht="15.75" customHeight="1" x14ac:dyDescent="0.25">
      <c r="E385" s="65"/>
      <c r="I385" s="56"/>
    </row>
    <row r="386" spans="5:9" ht="15.75" customHeight="1" x14ac:dyDescent="0.25">
      <c r="E386" s="65"/>
      <c r="I386" s="56"/>
    </row>
    <row r="387" spans="5:9" ht="15.75" customHeight="1" x14ac:dyDescent="0.25">
      <c r="E387" s="65"/>
      <c r="I387" s="56"/>
    </row>
    <row r="388" spans="5:9" ht="15.75" customHeight="1" x14ac:dyDescent="0.25">
      <c r="E388" s="65"/>
      <c r="I388" s="56"/>
    </row>
    <row r="389" spans="5:9" ht="15.75" customHeight="1" x14ac:dyDescent="0.25">
      <c r="E389" s="65"/>
      <c r="I389" s="56"/>
    </row>
    <row r="390" spans="5:9" ht="15.75" customHeight="1" x14ac:dyDescent="0.25">
      <c r="E390" s="65"/>
      <c r="I390" s="56"/>
    </row>
    <row r="391" spans="5:9" ht="15.75" customHeight="1" x14ac:dyDescent="0.25">
      <c r="E391" s="65"/>
      <c r="I391" s="56"/>
    </row>
    <row r="392" spans="5:9" ht="15.75" customHeight="1" x14ac:dyDescent="0.25">
      <c r="E392" s="65"/>
      <c r="I392" s="56"/>
    </row>
    <row r="393" spans="5:9" ht="15.75" customHeight="1" x14ac:dyDescent="0.25">
      <c r="E393" s="65"/>
      <c r="I393" s="56"/>
    </row>
    <row r="394" spans="5:9" ht="15.75" customHeight="1" x14ac:dyDescent="0.25">
      <c r="E394" s="65"/>
      <c r="I394" s="56"/>
    </row>
    <row r="395" spans="5:9" ht="15.75" customHeight="1" x14ac:dyDescent="0.25">
      <c r="E395" s="65"/>
      <c r="I395" s="56"/>
    </row>
    <row r="396" spans="5:9" ht="15.75" customHeight="1" x14ac:dyDescent="0.25">
      <c r="E396" s="65"/>
      <c r="I396" s="56"/>
    </row>
    <row r="397" spans="5:9" ht="15.75" customHeight="1" x14ac:dyDescent="0.25">
      <c r="E397" s="65"/>
      <c r="I397" s="56"/>
    </row>
    <row r="398" spans="5:9" ht="15.75" customHeight="1" x14ac:dyDescent="0.25">
      <c r="E398" s="65"/>
      <c r="I398" s="56"/>
    </row>
    <row r="399" spans="5:9" ht="15.75" customHeight="1" x14ac:dyDescent="0.25">
      <c r="E399" s="65"/>
      <c r="I399" s="56"/>
    </row>
    <row r="400" spans="5:9" ht="15.75" customHeight="1" x14ac:dyDescent="0.25">
      <c r="E400" s="65"/>
      <c r="I400" s="56"/>
    </row>
    <row r="401" spans="5:9" ht="15.75" customHeight="1" x14ac:dyDescent="0.25">
      <c r="E401" s="65"/>
      <c r="I401" s="56"/>
    </row>
    <row r="402" spans="5:9" ht="15.75" customHeight="1" x14ac:dyDescent="0.25">
      <c r="E402" s="65"/>
      <c r="I402" s="56"/>
    </row>
    <row r="403" spans="5:9" ht="15.75" customHeight="1" x14ac:dyDescent="0.25">
      <c r="E403" s="65"/>
      <c r="I403" s="56"/>
    </row>
    <row r="404" spans="5:9" ht="15.75" customHeight="1" x14ac:dyDescent="0.25">
      <c r="E404" s="65"/>
      <c r="I404" s="56"/>
    </row>
    <row r="405" spans="5:9" ht="15.75" customHeight="1" x14ac:dyDescent="0.25">
      <c r="E405" s="65"/>
      <c r="I405" s="56"/>
    </row>
    <row r="406" spans="5:9" ht="15.75" customHeight="1" x14ac:dyDescent="0.25">
      <c r="E406" s="65"/>
      <c r="I406" s="56"/>
    </row>
    <row r="407" spans="5:9" ht="15.75" customHeight="1" x14ac:dyDescent="0.25">
      <c r="E407" s="65"/>
      <c r="I407" s="56"/>
    </row>
    <row r="408" spans="5:9" ht="15.75" customHeight="1" x14ac:dyDescent="0.25">
      <c r="E408" s="65"/>
      <c r="I408" s="56"/>
    </row>
    <row r="409" spans="5:9" ht="15.75" customHeight="1" x14ac:dyDescent="0.25">
      <c r="E409" s="65"/>
      <c r="I409" s="56"/>
    </row>
    <row r="410" spans="5:9" ht="15.75" customHeight="1" x14ac:dyDescent="0.25">
      <c r="E410" s="65"/>
      <c r="I410" s="56"/>
    </row>
    <row r="411" spans="5:9" ht="15.75" customHeight="1" x14ac:dyDescent="0.25">
      <c r="E411" s="65"/>
      <c r="I411" s="56"/>
    </row>
    <row r="412" spans="5:9" ht="15.75" customHeight="1" x14ac:dyDescent="0.25">
      <c r="E412" s="65"/>
      <c r="I412" s="56"/>
    </row>
    <row r="413" spans="5:9" ht="15.75" customHeight="1" x14ac:dyDescent="0.25">
      <c r="E413" s="65"/>
      <c r="I413" s="56"/>
    </row>
    <row r="414" spans="5:9" ht="15.75" customHeight="1" x14ac:dyDescent="0.25">
      <c r="E414" s="65"/>
      <c r="I414" s="56"/>
    </row>
    <row r="415" spans="5:9" ht="15.75" customHeight="1" x14ac:dyDescent="0.25">
      <c r="E415" s="65"/>
      <c r="I415" s="56"/>
    </row>
    <row r="416" spans="5:9" ht="15.75" customHeight="1" x14ac:dyDescent="0.25">
      <c r="E416" s="65"/>
      <c r="I416" s="56"/>
    </row>
    <row r="417" spans="5:9" ht="15.75" customHeight="1" x14ac:dyDescent="0.25">
      <c r="E417" s="65"/>
      <c r="I417" s="56"/>
    </row>
    <row r="418" spans="5:9" ht="15.75" customHeight="1" x14ac:dyDescent="0.25">
      <c r="E418" s="65"/>
      <c r="I418" s="56"/>
    </row>
    <row r="419" spans="5:9" ht="15.75" customHeight="1" x14ac:dyDescent="0.25">
      <c r="E419" s="65"/>
      <c r="I419" s="56"/>
    </row>
    <row r="420" spans="5:9" ht="15.75" customHeight="1" x14ac:dyDescent="0.25">
      <c r="E420" s="65"/>
      <c r="I420" s="56"/>
    </row>
    <row r="421" spans="5:9" ht="15.75" customHeight="1" x14ac:dyDescent="0.25">
      <c r="E421" s="65"/>
      <c r="I421" s="56"/>
    </row>
    <row r="422" spans="5:9" ht="15.75" customHeight="1" x14ac:dyDescent="0.25">
      <c r="E422" s="65"/>
      <c r="I422" s="56"/>
    </row>
    <row r="423" spans="5:9" ht="15.75" customHeight="1" x14ac:dyDescent="0.25">
      <c r="E423" s="65"/>
      <c r="I423" s="56"/>
    </row>
    <row r="424" spans="5:9" ht="15.75" customHeight="1" x14ac:dyDescent="0.25">
      <c r="E424" s="65"/>
      <c r="I424" s="56"/>
    </row>
    <row r="425" spans="5:9" ht="15.75" customHeight="1" x14ac:dyDescent="0.25">
      <c r="E425" s="65"/>
      <c r="I425" s="56"/>
    </row>
    <row r="426" spans="5:9" ht="15.75" customHeight="1" x14ac:dyDescent="0.25">
      <c r="E426" s="65"/>
      <c r="I426" s="56"/>
    </row>
    <row r="427" spans="5:9" ht="15.75" customHeight="1" x14ac:dyDescent="0.25">
      <c r="E427" s="65"/>
      <c r="I427" s="56"/>
    </row>
    <row r="428" spans="5:9" ht="15.75" customHeight="1" x14ac:dyDescent="0.25">
      <c r="E428" s="65"/>
      <c r="I428" s="56"/>
    </row>
    <row r="429" spans="5:9" ht="15.75" customHeight="1" x14ac:dyDescent="0.25">
      <c r="E429" s="65"/>
      <c r="I429" s="56"/>
    </row>
    <row r="430" spans="5:9" ht="15.75" customHeight="1" x14ac:dyDescent="0.25">
      <c r="E430" s="65"/>
      <c r="I430" s="56"/>
    </row>
    <row r="431" spans="5:9" ht="15.75" customHeight="1" x14ac:dyDescent="0.25">
      <c r="E431" s="65"/>
      <c r="I431" s="56"/>
    </row>
    <row r="432" spans="5:9" ht="15.75" customHeight="1" x14ac:dyDescent="0.25">
      <c r="E432" s="65"/>
      <c r="I432" s="56"/>
    </row>
    <row r="433" spans="5:9" ht="15.75" customHeight="1" x14ac:dyDescent="0.25">
      <c r="E433" s="65"/>
      <c r="I433" s="56"/>
    </row>
    <row r="434" spans="5:9" ht="15.75" customHeight="1" x14ac:dyDescent="0.25">
      <c r="E434" s="65"/>
      <c r="I434" s="56"/>
    </row>
    <row r="435" spans="5:9" ht="15.75" customHeight="1" x14ac:dyDescent="0.25">
      <c r="E435" s="65"/>
      <c r="I435" s="56"/>
    </row>
    <row r="436" spans="5:9" ht="15.75" customHeight="1" x14ac:dyDescent="0.25">
      <c r="E436" s="65"/>
      <c r="I436" s="56"/>
    </row>
    <row r="437" spans="5:9" ht="15.75" customHeight="1" x14ac:dyDescent="0.25">
      <c r="E437" s="65"/>
      <c r="I437" s="56"/>
    </row>
    <row r="438" spans="5:9" ht="15.75" customHeight="1" x14ac:dyDescent="0.25">
      <c r="E438" s="65"/>
      <c r="I438" s="56"/>
    </row>
    <row r="439" spans="5:9" ht="15.75" customHeight="1" x14ac:dyDescent="0.25">
      <c r="E439" s="65"/>
      <c r="I439" s="56"/>
    </row>
    <row r="440" spans="5:9" ht="15.75" customHeight="1" x14ac:dyDescent="0.25">
      <c r="E440" s="65"/>
      <c r="I440" s="56"/>
    </row>
    <row r="441" spans="5:9" ht="15.75" customHeight="1" x14ac:dyDescent="0.25">
      <c r="E441" s="65"/>
      <c r="I441" s="56"/>
    </row>
    <row r="442" spans="5:9" ht="15.75" customHeight="1" x14ac:dyDescent="0.25">
      <c r="E442" s="65"/>
      <c r="I442" s="56"/>
    </row>
    <row r="443" spans="5:9" ht="15.75" customHeight="1" x14ac:dyDescent="0.25">
      <c r="E443" s="65"/>
      <c r="I443" s="56"/>
    </row>
    <row r="444" spans="5:9" ht="15.75" customHeight="1" x14ac:dyDescent="0.25">
      <c r="E444" s="65"/>
      <c r="I444" s="56"/>
    </row>
    <row r="445" spans="5:9" ht="15.75" customHeight="1" x14ac:dyDescent="0.25">
      <c r="E445" s="65"/>
      <c r="I445" s="56"/>
    </row>
    <row r="446" spans="5:9" ht="15.75" customHeight="1" x14ac:dyDescent="0.25">
      <c r="E446" s="65"/>
      <c r="I446" s="56"/>
    </row>
    <row r="447" spans="5:9" ht="15.75" customHeight="1" x14ac:dyDescent="0.25">
      <c r="E447" s="65"/>
      <c r="I447" s="56"/>
    </row>
    <row r="448" spans="5:9" ht="15.75" customHeight="1" x14ac:dyDescent="0.25">
      <c r="E448" s="65"/>
      <c r="I448" s="56"/>
    </row>
    <row r="449" spans="5:9" ht="15.75" customHeight="1" x14ac:dyDescent="0.25">
      <c r="E449" s="65"/>
      <c r="I449" s="56"/>
    </row>
    <row r="450" spans="5:9" ht="15.75" customHeight="1" x14ac:dyDescent="0.25">
      <c r="E450" s="65"/>
      <c r="I450" s="56"/>
    </row>
    <row r="451" spans="5:9" ht="15.75" customHeight="1" x14ac:dyDescent="0.25">
      <c r="E451" s="65"/>
      <c r="I451" s="56"/>
    </row>
    <row r="452" spans="5:9" ht="15.75" customHeight="1" x14ac:dyDescent="0.25">
      <c r="E452" s="65"/>
      <c r="I452" s="56"/>
    </row>
    <row r="453" spans="5:9" ht="15.75" customHeight="1" x14ac:dyDescent="0.25">
      <c r="E453" s="65"/>
      <c r="I453" s="56"/>
    </row>
    <row r="454" spans="5:9" ht="15.75" customHeight="1" x14ac:dyDescent="0.25">
      <c r="E454" s="65"/>
      <c r="I454" s="56"/>
    </row>
    <row r="455" spans="5:9" ht="15.75" customHeight="1" x14ac:dyDescent="0.25">
      <c r="E455" s="65"/>
      <c r="I455" s="56"/>
    </row>
    <row r="456" spans="5:9" ht="15.75" customHeight="1" x14ac:dyDescent="0.25">
      <c r="E456" s="65"/>
      <c r="I456" s="56"/>
    </row>
    <row r="457" spans="5:9" ht="15.75" customHeight="1" x14ac:dyDescent="0.25">
      <c r="E457" s="65"/>
      <c r="I457" s="56"/>
    </row>
    <row r="458" spans="5:9" ht="15.75" customHeight="1" x14ac:dyDescent="0.25">
      <c r="E458" s="65"/>
      <c r="I458" s="56"/>
    </row>
    <row r="459" spans="5:9" ht="15.75" customHeight="1" x14ac:dyDescent="0.25">
      <c r="E459" s="65"/>
      <c r="I459" s="56"/>
    </row>
    <row r="460" spans="5:9" ht="15.75" customHeight="1" x14ac:dyDescent="0.25">
      <c r="E460" s="65"/>
      <c r="I460" s="56"/>
    </row>
    <row r="461" spans="5:9" ht="15.75" customHeight="1" x14ac:dyDescent="0.25">
      <c r="E461" s="65"/>
      <c r="I461" s="56"/>
    </row>
    <row r="462" spans="5:9" ht="15.75" customHeight="1" x14ac:dyDescent="0.25">
      <c r="E462" s="65"/>
      <c r="I462" s="56"/>
    </row>
    <row r="463" spans="5:9" ht="15.75" customHeight="1" x14ac:dyDescent="0.25">
      <c r="E463" s="65"/>
      <c r="I463" s="56"/>
    </row>
    <row r="464" spans="5:9" ht="15.75" customHeight="1" x14ac:dyDescent="0.25">
      <c r="E464" s="65"/>
      <c r="I464" s="56"/>
    </row>
    <row r="465" spans="5:9" ht="15.75" customHeight="1" x14ac:dyDescent="0.25">
      <c r="E465" s="65"/>
      <c r="I465" s="56"/>
    </row>
    <row r="466" spans="5:9" ht="15.75" customHeight="1" x14ac:dyDescent="0.25">
      <c r="E466" s="65"/>
      <c r="I466" s="56"/>
    </row>
    <row r="467" spans="5:9" ht="15.75" customHeight="1" x14ac:dyDescent="0.25">
      <c r="E467" s="65"/>
      <c r="I467" s="56"/>
    </row>
    <row r="468" spans="5:9" ht="15.75" customHeight="1" x14ac:dyDescent="0.25">
      <c r="E468" s="65"/>
      <c r="I468" s="56"/>
    </row>
    <row r="469" spans="5:9" ht="15.75" customHeight="1" x14ac:dyDescent="0.25">
      <c r="E469" s="65"/>
      <c r="I469" s="56"/>
    </row>
    <row r="470" spans="5:9" ht="15.75" customHeight="1" x14ac:dyDescent="0.25">
      <c r="E470" s="65"/>
      <c r="I470" s="56"/>
    </row>
    <row r="471" spans="5:9" ht="15.75" customHeight="1" x14ac:dyDescent="0.25">
      <c r="E471" s="65"/>
      <c r="I471" s="56"/>
    </row>
    <row r="472" spans="5:9" ht="15.75" customHeight="1" x14ac:dyDescent="0.25">
      <c r="E472" s="65"/>
      <c r="I472" s="56"/>
    </row>
    <row r="473" spans="5:9" ht="15.75" customHeight="1" x14ac:dyDescent="0.25">
      <c r="E473" s="65"/>
      <c r="I473" s="56"/>
    </row>
    <row r="474" spans="5:9" ht="15.75" customHeight="1" x14ac:dyDescent="0.25">
      <c r="E474" s="65"/>
      <c r="I474" s="56"/>
    </row>
    <row r="475" spans="5:9" ht="15.75" customHeight="1" x14ac:dyDescent="0.25">
      <c r="E475" s="65"/>
      <c r="I475" s="56"/>
    </row>
    <row r="476" spans="5:9" ht="15.75" customHeight="1" x14ac:dyDescent="0.25">
      <c r="E476" s="65"/>
      <c r="I476" s="56"/>
    </row>
    <row r="477" spans="5:9" ht="15.75" customHeight="1" x14ac:dyDescent="0.25">
      <c r="E477" s="65"/>
      <c r="I477" s="56"/>
    </row>
    <row r="478" spans="5:9" ht="15.75" customHeight="1" x14ac:dyDescent="0.25">
      <c r="E478" s="65"/>
      <c r="I478" s="56"/>
    </row>
    <row r="479" spans="5:9" ht="15.75" customHeight="1" x14ac:dyDescent="0.25">
      <c r="E479" s="65"/>
      <c r="I479" s="56"/>
    </row>
    <row r="480" spans="5:9" ht="15.75" customHeight="1" x14ac:dyDescent="0.25">
      <c r="E480" s="65"/>
      <c r="I480" s="56"/>
    </row>
    <row r="481" spans="5:9" ht="15.75" customHeight="1" x14ac:dyDescent="0.25">
      <c r="E481" s="65"/>
      <c r="I481" s="56"/>
    </row>
    <row r="482" spans="5:9" ht="15.75" customHeight="1" x14ac:dyDescent="0.25">
      <c r="E482" s="65"/>
      <c r="I482" s="56"/>
    </row>
    <row r="483" spans="5:9" ht="15.75" customHeight="1" x14ac:dyDescent="0.25">
      <c r="E483" s="65"/>
      <c r="I483" s="56"/>
    </row>
    <row r="484" spans="5:9" ht="15.75" customHeight="1" x14ac:dyDescent="0.25">
      <c r="E484" s="65"/>
      <c r="I484" s="56"/>
    </row>
    <row r="485" spans="5:9" ht="15.75" customHeight="1" x14ac:dyDescent="0.25">
      <c r="E485" s="65"/>
      <c r="I485" s="56"/>
    </row>
    <row r="486" spans="5:9" ht="15.75" customHeight="1" x14ac:dyDescent="0.25">
      <c r="E486" s="65"/>
      <c r="I486" s="56"/>
    </row>
    <row r="487" spans="5:9" ht="15.75" customHeight="1" x14ac:dyDescent="0.25">
      <c r="E487" s="65"/>
      <c r="I487" s="56"/>
    </row>
    <row r="488" spans="5:9" ht="15.75" customHeight="1" x14ac:dyDescent="0.25">
      <c r="E488" s="65"/>
      <c r="I488" s="56"/>
    </row>
    <row r="489" spans="5:9" ht="15.75" customHeight="1" x14ac:dyDescent="0.25">
      <c r="E489" s="65"/>
      <c r="I489" s="56"/>
    </row>
    <row r="490" spans="5:9" ht="15.75" customHeight="1" x14ac:dyDescent="0.25">
      <c r="E490" s="65"/>
      <c r="I490" s="56"/>
    </row>
    <row r="491" spans="5:9" ht="15.75" customHeight="1" x14ac:dyDescent="0.25">
      <c r="E491" s="65"/>
      <c r="I491" s="56"/>
    </row>
    <row r="492" spans="5:9" ht="15.75" customHeight="1" x14ac:dyDescent="0.25">
      <c r="E492" s="65"/>
      <c r="I492" s="56"/>
    </row>
    <row r="493" spans="5:9" ht="15.75" customHeight="1" x14ac:dyDescent="0.25">
      <c r="E493" s="65"/>
      <c r="I493" s="56"/>
    </row>
    <row r="494" spans="5:9" ht="15.75" customHeight="1" x14ac:dyDescent="0.25">
      <c r="E494" s="65"/>
      <c r="I494" s="56"/>
    </row>
    <row r="495" spans="5:9" ht="15.75" customHeight="1" x14ac:dyDescent="0.25">
      <c r="E495" s="65"/>
      <c r="I495" s="56"/>
    </row>
    <row r="496" spans="5:9" ht="15.75" customHeight="1" x14ac:dyDescent="0.25">
      <c r="E496" s="65"/>
      <c r="I496" s="56"/>
    </row>
    <row r="497" spans="5:9" ht="15.75" customHeight="1" x14ac:dyDescent="0.25">
      <c r="E497" s="65"/>
      <c r="I497" s="56"/>
    </row>
    <row r="498" spans="5:9" ht="15.75" customHeight="1" x14ac:dyDescent="0.25">
      <c r="E498" s="65"/>
      <c r="I498" s="56"/>
    </row>
    <row r="499" spans="5:9" ht="15.75" customHeight="1" x14ac:dyDescent="0.25">
      <c r="E499" s="65"/>
      <c r="I499" s="56"/>
    </row>
    <row r="500" spans="5:9" ht="15.75" customHeight="1" x14ac:dyDescent="0.25">
      <c r="E500" s="65"/>
      <c r="I500" s="56"/>
    </row>
    <row r="501" spans="5:9" ht="15.75" customHeight="1" x14ac:dyDescent="0.25">
      <c r="E501" s="65"/>
      <c r="I501" s="56"/>
    </row>
    <row r="502" spans="5:9" ht="15.75" customHeight="1" x14ac:dyDescent="0.25">
      <c r="E502" s="65"/>
      <c r="I502" s="56"/>
    </row>
    <row r="503" spans="5:9" ht="15.75" customHeight="1" x14ac:dyDescent="0.25">
      <c r="E503" s="65"/>
      <c r="I503" s="56"/>
    </row>
    <row r="504" spans="5:9" ht="15.75" customHeight="1" x14ac:dyDescent="0.25">
      <c r="E504" s="65"/>
      <c r="I504" s="56"/>
    </row>
    <row r="505" spans="5:9" ht="15.75" customHeight="1" x14ac:dyDescent="0.25">
      <c r="E505" s="65"/>
      <c r="I505" s="56"/>
    </row>
    <row r="506" spans="5:9" ht="15.75" customHeight="1" x14ac:dyDescent="0.25">
      <c r="E506" s="65"/>
      <c r="I506" s="56"/>
    </row>
    <row r="507" spans="5:9" ht="15.75" customHeight="1" x14ac:dyDescent="0.25">
      <c r="E507" s="65"/>
      <c r="I507" s="56"/>
    </row>
    <row r="508" spans="5:9" ht="15.75" customHeight="1" x14ac:dyDescent="0.25">
      <c r="E508" s="65"/>
      <c r="I508" s="56"/>
    </row>
    <row r="509" spans="5:9" ht="15.75" customHeight="1" x14ac:dyDescent="0.25">
      <c r="E509" s="65"/>
      <c r="I509" s="56"/>
    </row>
    <row r="510" spans="5:9" ht="15.75" customHeight="1" x14ac:dyDescent="0.25">
      <c r="E510" s="65"/>
      <c r="I510" s="56"/>
    </row>
    <row r="511" spans="5:9" ht="15.75" customHeight="1" x14ac:dyDescent="0.25">
      <c r="E511" s="65"/>
      <c r="I511" s="56"/>
    </row>
    <row r="512" spans="5:9" ht="15.75" customHeight="1" x14ac:dyDescent="0.25">
      <c r="E512" s="65"/>
      <c r="I512" s="56"/>
    </row>
    <row r="513" spans="5:9" ht="15.75" customHeight="1" x14ac:dyDescent="0.25">
      <c r="E513" s="65"/>
      <c r="I513" s="56"/>
    </row>
    <row r="514" spans="5:9" ht="15.75" customHeight="1" x14ac:dyDescent="0.25">
      <c r="E514" s="65"/>
      <c r="I514" s="56"/>
    </row>
    <row r="515" spans="5:9" ht="15.75" customHeight="1" x14ac:dyDescent="0.25">
      <c r="E515" s="65"/>
      <c r="I515" s="56"/>
    </row>
    <row r="516" spans="5:9" ht="15.75" customHeight="1" x14ac:dyDescent="0.25">
      <c r="E516" s="65"/>
      <c r="I516" s="56"/>
    </row>
    <row r="517" spans="5:9" ht="15.75" customHeight="1" x14ac:dyDescent="0.25">
      <c r="E517" s="65"/>
      <c r="I517" s="56"/>
    </row>
    <row r="518" spans="5:9" ht="15.75" customHeight="1" x14ac:dyDescent="0.25">
      <c r="E518" s="65"/>
      <c r="I518" s="56"/>
    </row>
    <row r="519" spans="5:9" ht="15.75" customHeight="1" x14ac:dyDescent="0.25">
      <c r="E519" s="65"/>
      <c r="I519" s="56"/>
    </row>
    <row r="520" spans="5:9" ht="15.75" customHeight="1" x14ac:dyDescent="0.25">
      <c r="E520" s="65"/>
      <c r="I520" s="56"/>
    </row>
    <row r="521" spans="5:9" ht="15.75" customHeight="1" x14ac:dyDescent="0.25">
      <c r="E521" s="65"/>
      <c r="I521" s="56"/>
    </row>
    <row r="522" spans="5:9" ht="15.75" customHeight="1" x14ac:dyDescent="0.25">
      <c r="E522" s="65"/>
      <c r="I522" s="56"/>
    </row>
    <row r="523" spans="5:9" ht="15.75" customHeight="1" x14ac:dyDescent="0.25">
      <c r="E523" s="65"/>
      <c r="I523" s="56"/>
    </row>
    <row r="524" spans="5:9" ht="15.75" customHeight="1" x14ac:dyDescent="0.25">
      <c r="E524" s="65"/>
      <c r="I524" s="56"/>
    </row>
    <row r="525" spans="5:9" ht="15.75" customHeight="1" x14ac:dyDescent="0.25">
      <c r="E525" s="65"/>
      <c r="I525" s="56"/>
    </row>
    <row r="526" spans="5:9" ht="15.75" customHeight="1" x14ac:dyDescent="0.25">
      <c r="E526" s="65"/>
      <c r="I526" s="56"/>
    </row>
    <row r="527" spans="5:9" ht="15.75" customHeight="1" x14ac:dyDescent="0.25">
      <c r="E527" s="65"/>
      <c r="I527" s="56"/>
    </row>
    <row r="528" spans="5:9" ht="15.75" customHeight="1" x14ac:dyDescent="0.25">
      <c r="E528" s="65"/>
      <c r="I528" s="56"/>
    </row>
    <row r="529" spans="5:9" ht="15.75" customHeight="1" x14ac:dyDescent="0.25">
      <c r="E529" s="65"/>
      <c r="I529" s="56"/>
    </row>
    <row r="530" spans="5:9" ht="15.75" customHeight="1" x14ac:dyDescent="0.25">
      <c r="E530" s="65"/>
      <c r="I530" s="56"/>
    </row>
    <row r="531" spans="5:9" ht="15.75" customHeight="1" x14ac:dyDescent="0.25">
      <c r="E531" s="65"/>
      <c r="I531" s="56"/>
    </row>
    <row r="532" spans="5:9" ht="15.75" customHeight="1" x14ac:dyDescent="0.25">
      <c r="E532" s="65"/>
      <c r="I532" s="56"/>
    </row>
    <row r="533" spans="5:9" ht="15.75" customHeight="1" x14ac:dyDescent="0.25">
      <c r="E533" s="65"/>
      <c r="I533" s="56"/>
    </row>
    <row r="534" spans="5:9" ht="15.75" customHeight="1" x14ac:dyDescent="0.25">
      <c r="E534" s="65"/>
      <c r="I534" s="56"/>
    </row>
    <row r="535" spans="5:9" ht="15.75" customHeight="1" x14ac:dyDescent="0.25">
      <c r="E535" s="65"/>
      <c r="I535" s="56"/>
    </row>
    <row r="536" spans="5:9" ht="15.75" customHeight="1" x14ac:dyDescent="0.25">
      <c r="E536" s="65"/>
      <c r="I536" s="56"/>
    </row>
    <row r="537" spans="5:9" ht="15.75" customHeight="1" x14ac:dyDescent="0.25">
      <c r="E537" s="65"/>
      <c r="I537" s="56"/>
    </row>
    <row r="538" spans="5:9" ht="15.75" customHeight="1" x14ac:dyDescent="0.25">
      <c r="E538" s="65"/>
      <c r="I538" s="56"/>
    </row>
    <row r="539" spans="5:9" ht="15.75" customHeight="1" x14ac:dyDescent="0.25">
      <c r="E539" s="65"/>
      <c r="I539" s="56"/>
    </row>
    <row r="540" spans="5:9" ht="15.75" customHeight="1" x14ac:dyDescent="0.25">
      <c r="E540" s="65"/>
      <c r="I540" s="56"/>
    </row>
    <row r="541" spans="5:9" ht="15.75" customHeight="1" x14ac:dyDescent="0.25">
      <c r="E541" s="65"/>
      <c r="I541" s="56"/>
    </row>
    <row r="542" spans="5:9" ht="15.75" customHeight="1" x14ac:dyDescent="0.25">
      <c r="E542" s="65"/>
      <c r="I542" s="56"/>
    </row>
    <row r="543" spans="5:9" ht="15.75" customHeight="1" x14ac:dyDescent="0.25">
      <c r="E543" s="65"/>
      <c r="I543" s="56"/>
    </row>
    <row r="544" spans="5:9" ht="15.75" customHeight="1" x14ac:dyDescent="0.25">
      <c r="E544" s="65"/>
      <c r="I544" s="56"/>
    </row>
    <row r="545" spans="5:9" ht="15.75" customHeight="1" x14ac:dyDescent="0.25">
      <c r="E545" s="65"/>
      <c r="I545" s="56"/>
    </row>
    <row r="546" spans="5:9" ht="15.75" customHeight="1" x14ac:dyDescent="0.25">
      <c r="E546" s="65"/>
      <c r="I546" s="56"/>
    </row>
    <row r="547" spans="5:9" ht="15.75" customHeight="1" x14ac:dyDescent="0.25">
      <c r="E547" s="65"/>
      <c r="I547" s="56"/>
    </row>
    <row r="548" spans="5:9" ht="15.75" customHeight="1" x14ac:dyDescent="0.25">
      <c r="E548" s="65"/>
      <c r="I548" s="56"/>
    </row>
    <row r="549" spans="5:9" ht="15.75" customHeight="1" x14ac:dyDescent="0.25">
      <c r="E549" s="65"/>
      <c r="I549" s="56"/>
    </row>
    <row r="550" spans="5:9" ht="15.75" customHeight="1" x14ac:dyDescent="0.25">
      <c r="E550" s="65"/>
      <c r="I550" s="56"/>
    </row>
    <row r="551" spans="5:9" ht="15.75" customHeight="1" x14ac:dyDescent="0.25">
      <c r="E551" s="65"/>
      <c r="I551" s="56"/>
    </row>
    <row r="552" spans="5:9" ht="15.75" customHeight="1" x14ac:dyDescent="0.25">
      <c r="E552" s="65"/>
      <c r="I552" s="56"/>
    </row>
    <row r="553" spans="5:9" ht="15.75" customHeight="1" x14ac:dyDescent="0.25">
      <c r="E553" s="65"/>
      <c r="I553" s="56"/>
    </row>
    <row r="554" spans="5:9" ht="15.75" customHeight="1" x14ac:dyDescent="0.25">
      <c r="E554" s="65"/>
      <c r="I554" s="56"/>
    </row>
    <row r="555" spans="5:9" ht="15.75" customHeight="1" x14ac:dyDescent="0.25">
      <c r="E555" s="65"/>
      <c r="I555" s="56"/>
    </row>
    <row r="556" spans="5:9" ht="15.75" customHeight="1" x14ac:dyDescent="0.25">
      <c r="E556" s="65"/>
      <c r="I556" s="56"/>
    </row>
    <row r="557" spans="5:9" ht="15.75" customHeight="1" x14ac:dyDescent="0.25">
      <c r="E557" s="65"/>
      <c r="I557" s="56"/>
    </row>
    <row r="558" spans="5:9" ht="15.75" customHeight="1" x14ac:dyDescent="0.25">
      <c r="E558" s="65"/>
      <c r="I558" s="56"/>
    </row>
    <row r="559" spans="5:9" ht="15.75" customHeight="1" x14ac:dyDescent="0.25">
      <c r="E559" s="65"/>
      <c r="I559" s="56"/>
    </row>
    <row r="560" spans="5:9" ht="15.75" customHeight="1" x14ac:dyDescent="0.25">
      <c r="E560" s="65"/>
      <c r="I560" s="56"/>
    </row>
    <row r="561" spans="5:9" ht="15.75" customHeight="1" x14ac:dyDescent="0.25">
      <c r="E561" s="65"/>
      <c r="I561" s="56"/>
    </row>
    <row r="562" spans="5:9" ht="15.75" customHeight="1" x14ac:dyDescent="0.25">
      <c r="E562" s="65"/>
      <c r="I562" s="56"/>
    </row>
    <row r="563" spans="5:9" ht="15.75" customHeight="1" x14ac:dyDescent="0.25">
      <c r="E563" s="65"/>
      <c r="I563" s="56"/>
    </row>
    <row r="564" spans="5:9" ht="15.75" customHeight="1" x14ac:dyDescent="0.25">
      <c r="E564" s="65"/>
      <c r="I564" s="56"/>
    </row>
    <row r="565" spans="5:9" ht="15.75" customHeight="1" x14ac:dyDescent="0.25">
      <c r="E565" s="65"/>
      <c r="I565" s="56"/>
    </row>
    <row r="566" spans="5:9" ht="15.75" customHeight="1" x14ac:dyDescent="0.25">
      <c r="E566" s="65"/>
      <c r="I566" s="56"/>
    </row>
    <row r="567" spans="5:9" ht="15.75" customHeight="1" x14ac:dyDescent="0.25">
      <c r="E567" s="65"/>
      <c r="I567" s="56"/>
    </row>
    <row r="568" spans="5:9" ht="15.75" customHeight="1" x14ac:dyDescent="0.25">
      <c r="E568" s="65"/>
      <c r="I568" s="56"/>
    </row>
    <row r="569" spans="5:9" ht="15.75" customHeight="1" x14ac:dyDescent="0.25">
      <c r="E569" s="65"/>
      <c r="I569" s="56"/>
    </row>
    <row r="570" spans="5:9" ht="15.75" customHeight="1" x14ac:dyDescent="0.25">
      <c r="E570" s="65"/>
      <c r="I570" s="56"/>
    </row>
    <row r="571" spans="5:9" ht="15.75" customHeight="1" x14ac:dyDescent="0.25">
      <c r="E571" s="65"/>
      <c r="I571" s="56"/>
    </row>
    <row r="572" spans="5:9" ht="15.75" customHeight="1" x14ac:dyDescent="0.25">
      <c r="E572" s="65"/>
      <c r="I572" s="56"/>
    </row>
    <row r="573" spans="5:9" ht="15.75" customHeight="1" x14ac:dyDescent="0.25">
      <c r="E573" s="65"/>
      <c r="I573" s="56"/>
    </row>
    <row r="574" spans="5:9" ht="15.75" customHeight="1" x14ac:dyDescent="0.25">
      <c r="E574" s="65"/>
      <c r="I574" s="56"/>
    </row>
    <row r="575" spans="5:9" ht="15.75" customHeight="1" x14ac:dyDescent="0.25">
      <c r="E575" s="65"/>
      <c r="I575" s="56"/>
    </row>
    <row r="576" spans="5:9" ht="15.75" customHeight="1" x14ac:dyDescent="0.25">
      <c r="E576" s="65"/>
      <c r="I576" s="56"/>
    </row>
    <row r="577" spans="5:9" ht="15.75" customHeight="1" x14ac:dyDescent="0.25">
      <c r="E577" s="65"/>
      <c r="I577" s="56"/>
    </row>
    <row r="578" spans="5:9" ht="15.75" customHeight="1" x14ac:dyDescent="0.25">
      <c r="E578" s="65"/>
      <c r="I578" s="56"/>
    </row>
    <row r="579" spans="5:9" ht="15.75" customHeight="1" x14ac:dyDescent="0.25">
      <c r="E579" s="65"/>
      <c r="I579" s="56"/>
    </row>
    <row r="580" spans="5:9" ht="15.75" customHeight="1" x14ac:dyDescent="0.25">
      <c r="E580" s="65"/>
      <c r="I580" s="56"/>
    </row>
    <row r="581" spans="5:9" ht="15.75" customHeight="1" x14ac:dyDescent="0.25">
      <c r="E581" s="65"/>
      <c r="I581" s="56"/>
    </row>
    <row r="582" spans="5:9" ht="15.75" customHeight="1" x14ac:dyDescent="0.25">
      <c r="E582" s="65"/>
      <c r="I582" s="56"/>
    </row>
    <row r="583" spans="5:9" ht="15.75" customHeight="1" x14ac:dyDescent="0.25">
      <c r="E583" s="65"/>
      <c r="I583" s="56"/>
    </row>
    <row r="584" spans="5:9" ht="15.75" customHeight="1" x14ac:dyDescent="0.25">
      <c r="E584" s="65"/>
      <c r="I584" s="56"/>
    </row>
    <row r="585" spans="5:9" ht="15.75" customHeight="1" x14ac:dyDescent="0.25">
      <c r="E585" s="65"/>
      <c r="I585" s="56"/>
    </row>
    <row r="586" spans="5:9" ht="15.75" customHeight="1" x14ac:dyDescent="0.25">
      <c r="E586" s="65"/>
      <c r="I586" s="56"/>
    </row>
    <row r="587" spans="5:9" ht="15.75" customHeight="1" x14ac:dyDescent="0.25">
      <c r="E587" s="65"/>
      <c r="I587" s="56"/>
    </row>
    <row r="588" spans="5:9" ht="15.75" customHeight="1" x14ac:dyDescent="0.25">
      <c r="E588" s="65"/>
      <c r="I588" s="56"/>
    </row>
    <row r="589" spans="5:9" ht="15.75" customHeight="1" x14ac:dyDescent="0.25">
      <c r="E589" s="65"/>
      <c r="I589" s="56"/>
    </row>
    <row r="590" spans="5:9" ht="15.75" customHeight="1" x14ac:dyDescent="0.25">
      <c r="E590" s="65"/>
      <c r="I590" s="56"/>
    </row>
    <row r="591" spans="5:9" ht="15.75" customHeight="1" x14ac:dyDescent="0.25">
      <c r="E591" s="65"/>
      <c r="I591" s="56"/>
    </row>
    <row r="592" spans="5:9" ht="15.75" customHeight="1" x14ac:dyDescent="0.25">
      <c r="E592" s="65"/>
      <c r="I592" s="56"/>
    </row>
    <row r="593" spans="5:9" ht="15.75" customHeight="1" x14ac:dyDescent="0.25">
      <c r="E593" s="65"/>
      <c r="I593" s="56"/>
    </row>
    <row r="594" spans="5:9" ht="15.75" customHeight="1" x14ac:dyDescent="0.25">
      <c r="E594" s="65"/>
      <c r="I594" s="56"/>
    </row>
    <row r="595" spans="5:9" ht="15.75" customHeight="1" x14ac:dyDescent="0.25">
      <c r="E595" s="65"/>
      <c r="I595" s="56"/>
    </row>
    <row r="596" spans="5:9" ht="15.75" customHeight="1" x14ac:dyDescent="0.25">
      <c r="E596" s="65"/>
      <c r="I596" s="56"/>
    </row>
    <row r="597" spans="5:9" ht="15.75" customHeight="1" x14ac:dyDescent="0.25">
      <c r="E597" s="65"/>
      <c r="I597" s="56"/>
    </row>
    <row r="598" spans="5:9" ht="15.75" customHeight="1" x14ac:dyDescent="0.25">
      <c r="E598" s="65"/>
      <c r="I598" s="56"/>
    </row>
    <row r="599" spans="5:9" ht="15.75" customHeight="1" x14ac:dyDescent="0.25">
      <c r="E599" s="65"/>
      <c r="I599" s="56"/>
    </row>
    <row r="600" spans="5:9" ht="15.75" customHeight="1" x14ac:dyDescent="0.25">
      <c r="E600" s="65"/>
      <c r="I600" s="56"/>
    </row>
    <row r="601" spans="5:9" ht="15.75" customHeight="1" x14ac:dyDescent="0.25">
      <c r="E601" s="65"/>
      <c r="I601" s="56"/>
    </row>
    <row r="602" spans="5:9" ht="15.75" customHeight="1" x14ac:dyDescent="0.25">
      <c r="E602" s="65"/>
      <c r="I602" s="56"/>
    </row>
    <row r="603" spans="5:9" ht="15.75" customHeight="1" x14ac:dyDescent="0.25">
      <c r="E603" s="65"/>
      <c r="I603" s="56"/>
    </row>
    <row r="604" spans="5:9" ht="15.75" customHeight="1" x14ac:dyDescent="0.25">
      <c r="E604" s="65"/>
      <c r="I604" s="56"/>
    </row>
    <row r="605" spans="5:9" ht="15.75" customHeight="1" x14ac:dyDescent="0.25">
      <c r="E605" s="65"/>
      <c r="I605" s="56"/>
    </row>
    <row r="606" spans="5:9" ht="15.75" customHeight="1" x14ac:dyDescent="0.25">
      <c r="E606" s="65"/>
      <c r="I606" s="56"/>
    </row>
    <row r="607" spans="5:9" ht="15.75" customHeight="1" x14ac:dyDescent="0.25">
      <c r="E607" s="65"/>
      <c r="I607" s="56"/>
    </row>
    <row r="608" spans="5:9" ht="15.75" customHeight="1" x14ac:dyDescent="0.25">
      <c r="E608" s="65"/>
      <c r="I608" s="56"/>
    </row>
    <row r="609" spans="5:9" ht="15.75" customHeight="1" x14ac:dyDescent="0.25">
      <c r="E609" s="65"/>
      <c r="I609" s="56"/>
    </row>
    <row r="610" spans="5:9" ht="15.75" customHeight="1" x14ac:dyDescent="0.25">
      <c r="E610" s="65"/>
      <c r="I610" s="56"/>
    </row>
    <row r="611" spans="5:9" ht="15.75" customHeight="1" x14ac:dyDescent="0.25">
      <c r="E611" s="65"/>
      <c r="I611" s="56"/>
    </row>
    <row r="612" spans="5:9" ht="15.75" customHeight="1" x14ac:dyDescent="0.25">
      <c r="E612" s="65"/>
      <c r="I612" s="56"/>
    </row>
    <row r="613" spans="5:9" ht="15.75" customHeight="1" x14ac:dyDescent="0.25">
      <c r="E613" s="65"/>
      <c r="I613" s="56"/>
    </row>
    <row r="614" spans="5:9" ht="15.75" customHeight="1" x14ac:dyDescent="0.25">
      <c r="E614" s="65"/>
      <c r="I614" s="56"/>
    </row>
    <row r="615" spans="5:9" ht="15.75" customHeight="1" x14ac:dyDescent="0.25">
      <c r="E615" s="65"/>
      <c r="I615" s="56"/>
    </row>
    <row r="616" spans="5:9" ht="15.75" customHeight="1" x14ac:dyDescent="0.25">
      <c r="E616" s="65"/>
      <c r="I616" s="56"/>
    </row>
    <row r="617" spans="5:9" ht="15.75" customHeight="1" x14ac:dyDescent="0.25">
      <c r="E617" s="65"/>
      <c r="I617" s="56"/>
    </row>
    <row r="618" spans="5:9" ht="15.75" customHeight="1" x14ac:dyDescent="0.25">
      <c r="E618" s="65"/>
      <c r="I618" s="56"/>
    </row>
    <row r="619" spans="5:9" ht="15.75" customHeight="1" x14ac:dyDescent="0.25">
      <c r="E619" s="65"/>
      <c r="I619" s="56"/>
    </row>
    <row r="620" spans="5:9" ht="15.75" customHeight="1" x14ac:dyDescent="0.25">
      <c r="E620" s="65"/>
      <c r="I620" s="56"/>
    </row>
    <row r="621" spans="5:9" ht="15.75" customHeight="1" x14ac:dyDescent="0.25">
      <c r="E621" s="65"/>
      <c r="I621" s="56"/>
    </row>
    <row r="622" spans="5:9" ht="15.75" customHeight="1" x14ac:dyDescent="0.25">
      <c r="E622" s="65"/>
      <c r="I622" s="56"/>
    </row>
    <row r="623" spans="5:9" ht="15.75" customHeight="1" x14ac:dyDescent="0.25">
      <c r="E623" s="65"/>
      <c r="I623" s="56"/>
    </row>
    <row r="624" spans="5:9" ht="15.75" customHeight="1" x14ac:dyDescent="0.25">
      <c r="E624" s="65"/>
      <c r="I624" s="56"/>
    </row>
    <row r="625" spans="5:9" ht="15.75" customHeight="1" x14ac:dyDescent="0.25">
      <c r="E625" s="65"/>
      <c r="I625" s="56"/>
    </row>
    <row r="626" spans="5:9" ht="15.75" customHeight="1" x14ac:dyDescent="0.25">
      <c r="E626" s="65"/>
      <c r="I626" s="56"/>
    </row>
    <row r="627" spans="5:9" ht="15.75" customHeight="1" x14ac:dyDescent="0.25">
      <c r="E627" s="65"/>
      <c r="I627" s="56"/>
    </row>
    <row r="628" spans="5:9" ht="15.75" customHeight="1" x14ac:dyDescent="0.25">
      <c r="E628" s="65"/>
      <c r="I628" s="56"/>
    </row>
    <row r="629" spans="5:9" ht="15.75" customHeight="1" x14ac:dyDescent="0.25">
      <c r="E629" s="65"/>
      <c r="I629" s="56"/>
    </row>
    <row r="630" spans="5:9" ht="15.75" customHeight="1" x14ac:dyDescent="0.25">
      <c r="E630" s="65"/>
      <c r="I630" s="56"/>
    </row>
    <row r="631" spans="5:9" ht="15.75" customHeight="1" x14ac:dyDescent="0.25">
      <c r="E631" s="65"/>
      <c r="I631" s="56"/>
    </row>
    <row r="632" spans="5:9" ht="15.75" customHeight="1" x14ac:dyDescent="0.25">
      <c r="E632" s="65"/>
      <c r="I632" s="56"/>
    </row>
    <row r="633" spans="5:9" ht="15.75" customHeight="1" x14ac:dyDescent="0.25">
      <c r="E633" s="65"/>
      <c r="I633" s="56"/>
    </row>
    <row r="634" spans="5:9" ht="15.75" customHeight="1" x14ac:dyDescent="0.25">
      <c r="E634" s="65"/>
      <c r="I634" s="56"/>
    </row>
    <row r="635" spans="5:9" ht="15.75" customHeight="1" x14ac:dyDescent="0.25">
      <c r="E635" s="65"/>
      <c r="I635" s="56"/>
    </row>
    <row r="636" spans="5:9" ht="15.75" customHeight="1" x14ac:dyDescent="0.25">
      <c r="E636" s="65"/>
      <c r="I636" s="56"/>
    </row>
    <row r="637" spans="5:9" ht="15.75" customHeight="1" x14ac:dyDescent="0.25">
      <c r="E637" s="65"/>
      <c r="I637" s="56"/>
    </row>
    <row r="638" spans="5:9" ht="15.75" customHeight="1" x14ac:dyDescent="0.25">
      <c r="E638" s="65"/>
      <c r="I638" s="56"/>
    </row>
    <row r="639" spans="5:9" ht="15.75" customHeight="1" x14ac:dyDescent="0.25">
      <c r="E639" s="65"/>
      <c r="I639" s="56"/>
    </row>
    <row r="640" spans="5:9" ht="15.75" customHeight="1" x14ac:dyDescent="0.25">
      <c r="E640" s="65"/>
      <c r="I640" s="56"/>
    </row>
    <row r="641" spans="5:9" ht="15.75" customHeight="1" x14ac:dyDescent="0.25">
      <c r="E641" s="65"/>
      <c r="I641" s="56"/>
    </row>
    <row r="642" spans="5:9" ht="15.75" customHeight="1" x14ac:dyDescent="0.25">
      <c r="E642" s="65"/>
      <c r="I642" s="56"/>
    </row>
    <row r="643" spans="5:9" ht="15.75" customHeight="1" x14ac:dyDescent="0.25">
      <c r="E643" s="65"/>
      <c r="I643" s="56"/>
    </row>
    <row r="644" spans="5:9" ht="15.75" customHeight="1" x14ac:dyDescent="0.25">
      <c r="E644" s="65"/>
      <c r="I644" s="56"/>
    </row>
    <row r="645" spans="5:9" ht="15.75" customHeight="1" x14ac:dyDescent="0.25">
      <c r="E645" s="65"/>
      <c r="I645" s="56"/>
    </row>
    <row r="646" spans="5:9" ht="15.75" customHeight="1" x14ac:dyDescent="0.25">
      <c r="E646" s="65"/>
      <c r="I646" s="56"/>
    </row>
    <row r="647" spans="5:9" ht="15.75" customHeight="1" x14ac:dyDescent="0.25">
      <c r="E647" s="65"/>
      <c r="I647" s="56"/>
    </row>
    <row r="648" spans="5:9" ht="15.75" customHeight="1" x14ac:dyDescent="0.25">
      <c r="E648" s="65"/>
      <c r="I648" s="56"/>
    </row>
    <row r="649" spans="5:9" ht="15.75" customHeight="1" x14ac:dyDescent="0.25">
      <c r="E649" s="65"/>
      <c r="I649" s="56"/>
    </row>
    <row r="650" spans="5:9" ht="15.75" customHeight="1" x14ac:dyDescent="0.25">
      <c r="E650" s="65"/>
      <c r="I650" s="56"/>
    </row>
    <row r="651" spans="5:9" ht="15.75" customHeight="1" x14ac:dyDescent="0.25">
      <c r="E651" s="65"/>
      <c r="I651" s="56"/>
    </row>
    <row r="652" spans="5:9" ht="15.75" customHeight="1" x14ac:dyDescent="0.25">
      <c r="E652" s="65"/>
      <c r="I652" s="56"/>
    </row>
    <row r="653" spans="5:9" ht="15.75" customHeight="1" x14ac:dyDescent="0.25">
      <c r="E653" s="65"/>
      <c r="I653" s="56"/>
    </row>
    <row r="654" spans="5:9" ht="15.75" customHeight="1" x14ac:dyDescent="0.25">
      <c r="E654" s="65"/>
      <c r="I654" s="56"/>
    </row>
    <row r="655" spans="5:9" ht="15.75" customHeight="1" x14ac:dyDescent="0.25">
      <c r="E655" s="65"/>
      <c r="I655" s="56"/>
    </row>
    <row r="656" spans="5:9" ht="15.75" customHeight="1" x14ac:dyDescent="0.25">
      <c r="E656" s="65"/>
      <c r="I656" s="56"/>
    </row>
    <row r="657" spans="5:9" ht="15.75" customHeight="1" x14ac:dyDescent="0.25">
      <c r="E657" s="65"/>
      <c r="I657" s="56"/>
    </row>
    <row r="658" spans="5:9" ht="15.75" customHeight="1" x14ac:dyDescent="0.25">
      <c r="E658" s="65"/>
      <c r="I658" s="56"/>
    </row>
    <row r="659" spans="5:9" ht="15.75" customHeight="1" x14ac:dyDescent="0.25">
      <c r="E659" s="65"/>
      <c r="I659" s="56"/>
    </row>
    <row r="660" spans="5:9" ht="15.75" customHeight="1" x14ac:dyDescent="0.25">
      <c r="E660" s="65"/>
      <c r="I660" s="56"/>
    </row>
    <row r="661" spans="5:9" ht="15.75" customHeight="1" x14ac:dyDescent="0.25">
      <c r="E661" s="65"/>
      <c r="I661" s="56"/>
    </row>
    <row r="662" spans="5:9" ht="15.75" customHeight="1" x14ac:dyDescent="0.25">
      <c r="E662" s="65"/>
      <c r="I662" s="56"/>
    </row>
    <row r="663" spans="5:9" ht="15.75" customHeight="1" x14ac:dyDescent="0.25">
      <c r="E663" s="65"/>
      <c r="I663" s="56"/>
    </row>
    <row r="664" spans="5:9" ht="15.75" customHeight="1" x14ac:dyDescent="0.25">
      <c r="E664" s="65"/>
      <c r="I664" s="56"/>
    </row>
    <row r="665" spans="5:9" ht="15.75" customHeight="1" x14ac:dyDescent="0.25">
      <c r="E665" s="65"/>
      <c r="I665" s="56"/>
    </row>
    <row r="666" spans="5:9" ht="15.75" customHeight="1" x14ac:dyDescent="0.25">
      <c r="E666" s="65"/>
      <c r="I666" s="56"/>
    </row>
    <row r="667" spans="5:9" ht="15.75" customHeight="1" x14ac:dyDescent="0.25">
      <c r="E667" s="65"/>
      <c r="I667" s="56"/>
    </row>
    <row r="668" spans="5:9" ht="15.75" customHeight="1" x14ac:dyDescent="0.25">
      <c r="E668" s="65"/>
      <c r="I668" s="56"/>
    </row>
    <row r="669" spans="5:9" ht="15.75" customHeight="1" x14ac:dyDescent="0.25">
      <c r="E669" s="65"/>
      <c r="I669" s="56"/>
    </row>
    <row r="670" spans="5:9" ht="15.75" customHeight="1" x14ac:dyDescent="0.25">
      <c r="E670" s="65"/>
      <c r="I670" s="56"/>
    </row>
    <row r="671" spans="5:9" ht="15.75" customHeight="1" x14ac:dyDescent="0.25">
      <c r="E671" s="65"/>
      <c r="I671" s="56"/>
    </row>
    <row r="672" spans="5:9" ht="15.75" customHeight="1" x14ac:dyDescent="0.25">
      <c r="E672" s="65"/>
      <c r="I672" s="56"/>
    </row>
    <row r="673" spans="5:9" ht="15.75" customHeight="1" x14ac:dyDescent="0.25">
      <c r="E673" s="65"/>
      <c r="I673" s="56"/>
    </row>
    <row r="674" spans="5:9" ht="15.75" customHeight="1" x14ac:dyDescent="0.25">
      <c r="E674" s="65"/>
      <c r="I674" s="56"/>
    </row>
    <row r="675" spans="5:9" ht="15.75" customHeight="1" x14ac:dyDescent="0.25">
      <c r="E675" s="65"/>
      <c r="I675" s="56"/>
    </row>
    <row r="676" spans="5:9" ht="15.75" customHeight="1" x14ac:dyDescent="0.25">
      <c r="E676" s="65"/>
      <c r="I676" s="56"/>
    </row>
    <row r="677" spans="5:9" ht="15.75" customHeight="1" x14ac:dyDescent="0.25">
      <c r="E677" s="65"/>
      <c r="I677" s="56"/>
    </row>
    <row r="678" spans="5:9" ht="15.75" customHeight="1" x14ac:dyDescent="0.25">
      <c r="E678" s="65"/>
      <c r="I678" s="56"/>
    </row>
    <row r="679" spans="5:9" ht="15.75" customHeight="1" x14ac:dyDescent="0.25">
      <c r="E679" s="65"/>
      <c r="I679" s="56"/>
    </row>
    <row r="680" spans="5:9" ht="15.75" customHeight="1" x14ac:dyDescent="0.25">
      <c r="E680" s="65"/>
      <c r="I680" s="56"/>
    </row>
    <row r="681" spans="5:9" ht="15.75" customHeight="1" x14ac:dyDescent="0.25">
      <c r="E681" s="65"/>
      <c r="I681" s="56"/>
    </row>
    <row r="682" spans="5:9" ht="15.75" customHeight="1" x14ac:dyDescent="0.25">
      <c r="E682" s="65"/>
      <c r="I682" s="56"/>
    </row>
    <row r="683" spans="5:9" ht="15.75" customHeight="1" x14ac:dyDescent="0.25">
      <c r="E683" s="65"/>
      <c r="I683" s="56"/>
    </row>
    <row r="684" spans="5:9" ht="15.75" customHeight="1" x14ac:dyDescent="0.25">
      <c r="E684" s="65"/>
      <c r="I684" s="56"/>
    </row>
    <row r="685" spans="5:9" ht="15.75" customHeight="1" x14ac:dyDescent="0.25">
      <c r="E685" s="65"/>
      <c r="I685" s="56"/>
    </row>
    <row r="686" spans="5:9" ht="15.75" customHeight="1" x14ac:dyDescent="0.25">
      <c r="E686" s="65"/>
      <c r="I686" s="56"/>
    </row>
    <row r="687" spans="5:9" ht="15.75" customHeight="1" x14ac:dyDescent="0.25">
      <c r="E687" s="65"/>
      <c r="I687" s="56"/>
    </row>
    <row r="688" spans="5:9" ht="15.75" customHeight="1" x14ac:dyDescent="0.25">
      <c r="E688" s="65"/>
      <c r="I688" s="56"/>
    </row>
    <row r="689" spans="5:9" ht="15.75" customHeight="1" x14ac:dyDescent="0.25">
      <c r="E689" s="65"/>
      <c r="I689" s="56"/>
    </row>
    <row r="690" spans="5:9" ht="15.75" customHeight="1" x14ac:dyDescent="0.25">
      <c r="E690" s="65"/>
      <c r="I690" s="56"/>
    </row>
    <row r="691" spans="5:9" ht="15.75" customHeight="1" x14ac:dyDescent="0.25">
      <c r="E691" s="65"/>
      <c r="I691" s="56"/>
    </row>
    <row r="692" spans="5:9" ht="15.75" customHeight="1" x14ac:dyDescent="0.25">
      <c r="E692" s="65"/>
      <c r="I692" s="56"/>
    </row>
    <row r="693" spans="5:9" ht="15.75" customHeight="1" x14ac:dyDescent="0.25">
      <c r="E693" s="65"/>
      <c r="I693" s="56"/>
    </row>
    <row r="694" spans="5:9" ht="15.75" customHeight="1" x14ac:dyDescent="0.25">
      <c r="E694" s="65"/>
      <c r="I694" s="56"/>
    </row>
    <row r="695" spans="5:9" ht="15.75" customHeight="1" x14ac:dyDescent="0.25">
      <c r="E695" s="65"/>
      <c r="I695" s="56"/>
    </row>
    <row r="696" spans="5:9" ht="15.75" customHeight="1" x14ac:dyDescent="0.25">
      <c r="E696" s="65"/>
      <c r="I696" s="56"/>
    </row>
    <row r="697" spans="5:9" ht="15.75" customHeight="1" x14ac:dyDescent="0.25">
      <c r="E697" s="65"/>
      <c r="I697" s="56"/>
    </row>
    <row r="698" spans="5:9" ht="15.75" customHeight="1" x14ac:dyDescent="0.25">
      <c r="E698" s="65"/>
      <c r="I698" s="56"/>
    </row>
    <row r="699" spans="5:9" ht="15.75" customHeight="1" x14ac:dyDescent="0.25">
      <c r="E699" s="65"/>
      <c r="I699" s="56"/>
    </row>
    <row r="700" spans="5:9" ht="15.75" customHeight="1" x14ac:dyDescent="0.25">
      <c r="E700" s="65"/>
      <c r="I700" s="56"/>
    </row>
    <row r="701" spans="5:9" ht="15.75" customHeight="1" x14ac:dyDescent="0.25">
      <c r="E701" s="65"/>
      <c r="I701" s="56"/>
    </row>
    <row r="702" spans="5:9" ht="15.75" customHeight="1" x14ac:dyDescent="0.25">
      <c r="E702" s="65"/>
      <c r="I702" s="56"/>
    </row>
    <row r="703" spans="5:9" ht="15.75" customHeight="1" x14ac:dyDescent="0.25">
      <c r="E703" s="65"/>
      <c r="I703" s="56"/>
    </row>
    <row r="704" spans="5:9" ht="15.75" customHeight="1" x14ac:dyDescent="0.25">
      <c r="E704" s="65"/>
      <c r="I704" s="56"/>
    </row>
    <row r="705" spans="5:9" ht="15.75" customHeight="1" x14ac:dyDescent="0.25">
      <c r="E705" s="65"/>
      <c r="I705" s="56"/>
    </row>
    <row r="706" spans="5:9" ht="15.75" customHeight="1" x14ac:dyDescent="0.25">
      <c r="E706" s="65"/>
      <c r="I706" s="56"/>
    </row>
    <row r="707" spans="5:9" ht="15.75" customHeight="1" x14ac:dyDescent="0.25">
      <c r="E707" s="65"/>
      <c r="I707" s="56"/>
    </row>
    <row r="708" spans="5:9" ht="15.75" customHeight="1" x14ac:dyDescent="0.25">
      <c r="E708" s="65"/>
      <c r="I708" s="56"/>
    </row>
    <row r="709" spans="5:9" ht="15.75" customHeight="1" x14ac:dyDescent="0.25">
      <c r="E709" s="65"/>
      <c r="I709" s="56"/>
    </row>
    <row r="710" spans="5:9" ht="15.75" customHeight="1" x14ac:dyDescent="0.25">
      <c r="E710" s="65"/>
      <c r="I710" s="56"/>
    </row>
    <row r="711" spans="5:9" ht="15.75" customHeight="1" x14ac:dyDescent="0.25">
      <c r="E711" s="65"/>
      <c r="I711" s="56"/>
    </row>
    <row r="712" spans="5:9" ht="15.75" customHeight="1" x14ac:dyDescent="0.25">
      <c r="E712" s="65"/>
      <c r="I712" s="56"/>
    </row>
    <row r="713" spans="5:9" ht="15.75" customHeight="1" x14ac:dyDescent="0.25">
      <c r="E713" s="65"/>
      <c r="I713" s="56"/>
    </row>
    <row r="714" spans="5:9" ht="15.75" customHeight="1" x14ac:dyDescent="0.25">
      <c r="E714" s="65"/>
      <c r="I714" s="56"/>
    </row>
    <row r="715" spans="5:9" ht="15.75" customHeight="1" x14ac:dyDescent="0.25">
      <c r="E715" s="65"/>
      <c r="I715" s="56"/>
    </row>
    <row r="716" spans="5:9" ht="15.75" customHeight="1" x14ac:dyDescent="0.25">
      <c r="E716" s="65"/>
      <c r="I716" s="56"/>
    </row>
    <row r="717" spans="5:9" ht="15.75" customHeight="1" x14ac:dyDescent="0.25">
      <c r="E717" s="65"/>
      <c r="I717" s="56"/>
    </row>
    <row r="718" spans="5:9" ht="15.75" customHeight="1" x14ac:dyDescent="0.25">
      <c r="E718" s="65"/>
      <c r="I718" s="56"/>
    </row>
    <row r="719" spans="5:9" ht="15.75" customHeight="1" x14ac:dyDescent="0.25">
      <c r="E719" s="65"/>
      <c r="I719" s="56"/>
    </row>
    <row r="720" spans="5:9" ht="15.75" customHeight="1" x14ac:dyDescent="0.25">
      <c r="E720" s="65"/>
      <c r="I720" s="56"/>
    </row>
    <row r="721" spans="5:9" ht="15.75" customHeight="1" x14ac:dyDescent="0.25">
      <c r="E721" s="65"/>
      <c r="I721" s="56"/>
    </row>
    <row r="722" spans="5:9" ht="15.75" customHeight="1" x14ac:dyDescent="0.25">
      <c r="E722" s="65"/>
      <c r="I722" s="56"/>
    </row>
    <row r="723" spans="5:9" ht="15.75" customHeight="1" x14ac:dyDescent="0.25">
      <c r="E723" s="65"/>
      <c r="I723" s="56"/>
    </row>
    <row r="724" spans="5:9" ht="15.75" customHeight="1" x14ac:dyDescent="0.25">
      <c r="E724" s="65"/>
      <c r="I724" s="56"/>
    </row>
    <row r="725" spans="5:9" ht="15.75" customHeight="1" x14ac:dyDescent="0.25">
      <c r="E725" s="65"/>
      <c r="I725" s="56"/>
    </row>
    <row r="726" spans="5:9" ht="15.75" customHeight="1" x14ac:dyDescent="0.25">
      <c r="E726" s="65"/>
      <c r="I726" s="56"/>
    </row>
    <row r="727" spans="5:9" ht="15.75" customHeight="1" x14ac:dyDescent="0.25">
      <c r="E727" s="65"/>
      <c r="I727" s="56"/>
    </row>
    <row r="728" spans="5:9" ht="15.75" customHeight="1" x14ac:dyDescent="0.25">
      <c r="E728" s="65"/>
      <c r="I728" s="56"/>
    </row>
    <row r="729" spans="5:9" ht="15.75" customHeight="1" x14ac:dyDescent="0.25">
      <c r="E729" s="65"/>
      <c r="I729" s="56"/>
    </row>
    <row r="730" spans="5:9" ht="15.75" customHeight="1" x14ac:dyDescent="0.25">
      <c r="E730" s="65"/>
      <c r="I730" s="56"/>
    </row>
    <row r="731" spans="5:9" ht="15.75" customHeight="1" x14ac:dyDescent="0.25">
      <c r="E731" s="65"/>
      <c r="I731" s="56"/>
    </row>
    <row r="732" spans="5:9" ht="15.75" customHeight="1" x14ac:dyDescent="0.25">
      <c r="E732" s="65"/>
      <c r="I732" s="56"/>
    </row>
    <row r="733" spans="5:9" ht="15.75" customHeight="1" x14ac:dyDescent="0.25">
      <c r="E733" s="65"/>
      <c r="I733" s="56"/>
    </row>
    <row r="734" spans="5:9" ht="15.75" customHeight="1" x14ac:dyDescent="0.25">
      <c r="E734" s="65"/>
      <c r="I734" s="56"/>
    </row>
    <row r="735" spans="5:9" ht="15.75" customHeight="1" x14ac:dyDescent="0.25">
      <c r="E735" s="65"/>
      <c r="I735" s="56"/>
    </row>
    <row r="736" spans="5:9" ht="15.75" customHeight="1" x14ac:dyDescent="0.25">
      <c r="E736" s="65"/>
      <c r="I736" s="56"/>
    </row>
    <row r="737" spans="5:9" ht="15.75" customHeight="1" x14ac:dyDescent="0.25">
      <c r="E737" s="65"/>
      <c r="I737" s="56"/>
    </row>
    <row r="738" spans="5:9" ht="15.75" customHeight="1" x14ac:dyDescent="0.25">
      <c r="E738" s="65"/>
      <c r="I738" s="56"/>
    </row>
    <row r="739" spans="5:9" ht="15.75" customHeight="1" x14ac:dyDescent="0.25">
      <c r="E739" s="65"/>
      <c r="I739" s="56"/>
    </row>
    <row r="740" spans="5:9" ht="15.75" customHeight="1" x14ac:dyDescent="0.25">
      <c r="E740" s="65"/>
      <c r="I740" s="56"/>
    </row>
    <row r="741" spans="5:9" ht="15.75" customHeight="1" x14ac:dyDescent="0.25">
      <c r="E741" s="65"/>
      <c r="I741" s="56"/>
    </row>
    <row r="742" spans="5:9" ht="15.75" customHeight="1" x14ac:dyDescent="0.25">
      <c r="E742" s="65"/>
      <c r="I742" s="56"/>
    </row>
    <row r="743" spans="5:9" ht="15.75" customHeight="1" x14ac:dyDescent="0.25">
      <c r="E743" s="65"/>
      <c r="I743" s="56"/>
    </row>
    <row r="744" spans="5:9" ht="15.75" customHeight="1" x14ac:dyDescent="0.25">
      <c r="E744" s="65"/>
      <c r="I744" s="56"/>
    </row>
    <row r="745" spans="5:9" ht="15.75" customHeight="1" x14ac:dyDescent="0.25">
      <c r="E745" s="65"/>
      <c r="I745" s="56"/>
    </row>
    <row r="746" spans="5:9" ht="15.75" customHeight="1" x14ac:dyDescent="0.25">
      <c r="E746" s="65"/>
      <c r="I746" s="56"/>
    </row>
    <row r="747" spans="5:9" ht="15.75" customHeight="1" x14ac:dyDescent="0.25">
      <c r="E747" s="65"/>
      <c r="I747" s="56"/>
    </row>
    <row r="748" spans="5:9" ht="15.75" customHeight="1" x14ac:dyDescent="0.25">
      <c r="E748" s="65"/>
      <c r="I748" s="56"/>
    </row>
    <row r="749" spans="5:9" ht="15.75" customHeight="1" x14ac:dyDescent="0.25">
      <c r="E749" s="65"/>
      <c r="I749" s="56"/>
    </row>
    <row r="750" spans="5:9" ht="15.75" customHeight="1" x14ac:dyDescent="0.25">
      <c r="E750" s="65"/>
      <c r="I750" s="56"/>
    </row>
    <row r="751" spans="5:9" ht="15.75" customHeight="1" x14ac:dyDescent="0.25">
      <c r="E751" s="65"/>
      <c r="I751" s="56"/>
    </row>
    <row r="752" spans="5:9" ht="15.75" customHeight="1" x14ac:dyDescent="0.25">
      <c r="E752" s="65"/>
      <c r="I752" s="56"/>
    </row>
    <row r="753" spans="5:9" ht="15.75" customHeight="1" x14ac:dyDescent="0.25">
      <c r="E753" s="65"/>
      <c r="I753" s="56"/>
    </row>
    <row r="754" spans="5:9" ht="15.75" customHeight="1" x14ac:dyDescent="0.25">
      <c r="E754" s="65"/>
      <c r="I754" s="56"/>
    </row>
    <row r="755" spans="5:9" ht="15.75" customHeight="1" x14ac:dyDescent="0.25">
      <c r="E755" s="65"/>
      <c r="I755" s="56"/>
    </row>
    <row r="756" spans="5:9" ht="15.75" customHeight="1" x14ac:dyDescent="0.25">
      <c r="E756" s="65"/>
      <c r="I756" s="56"/>
    </row>
    <row r="757" spans="5:9" ht="15.75" customHeight="1" x14ac:dyDescent="0.25">
      <c r="E757" s="65"/>
      <c r="I757" s="56"/>
    </row>
    <row r="758" spans="5:9" ht="15.75" customHeight="1" x14ac:dyDescent="0.25">
      <c r="E758" s="65"/>
      <c r="I758" s="56"/>
    </row>
    <row r="759" spans="5:9" ht="15.75" customHeight="1" x14ac:dyDescent="0.25">
      <c r="E759" s="65"/>
      <c r="I759" s="56"/>
    </row>
    <row r="760" spans="5:9" ht="15.75" customHeight="1" x14ac:dyDescent="0.25">
      <c r="E760" s="65"/>
      <c r="I760" s="56"/>
    </row>
    <row r="761" spans="5:9" ht="15.75" customHeight="1" x14ac:dyDescent="0.25">
      <c r="E761" s="65"/>
      <c r="I761" s="56"/>
    </row>
    <row r="762" spans="5:9" ht="15.75" customHeight="1" x14ac:dyDescent="0.25">
      <c r="E762" s="65"/>
      <c r="I762" s="56"/>
    </row>
    <row r="763" spans="5:9" ht="15.75" customHeight="1" x14ac:dyDescent="0.25">
      <c r="E763" s="65"/>
      <c r="I763" s="56"/>
    </row>
    <row r="764" spans="5:9" ht="15.75" customHeight="1" x14ac:dyDescent="0.25">
      <c r="E764" s="65"/>
      <c r="I764" s="56"/>
    </row>
    <row r="765" spans="5:9" ht="15.75" customHeight="1" x14ac:dyDescent="0.25">
      <c r="E765" s="65"/>
      <c r="I765" s="56"/>
    </row>
    <row r="766" spans="5:9" ht="15.75" customHeight="1" x14ac:dyDescent="0.25">
      <c r="E766" s="65"/>
      <c r="I766" s="56"/>
    </row>
    <row r="767" spans="5:9" ht="15.75" customHeight="1" x14ac:dyDescent="0.25">
      <c r="E767" s="65"/>
      <c r="I767" s="56"/>
    </row>
    <row r="768" spans="5:9" ht="15.75" customHeight="1" x14ac:dyDescent="0.25">
      <c r="E768" s="65"/>
      <c r="I768" s="56"/>
    </row>
    <row r="769" spans="5:9" ht="15.75" customHeight="1" x14ac:dyDescent="0.25">
      <c r="E769" s="65"/>
      <c r="I769" s="56"/>
    </row>
    <row r="770" spans="5:9" ht="15.75" customHeight="1" x14ac:dyDescent="0.25">
      <c r="E770" s="65"/>
      <c r="I770" s="56"/>
    </row>
    <row r="771" spans="5:9" ht="15.75" customHeight="1" x14ac:dyDescent="0.25">
      <c r="E771" s="65"/>
      <c r="I771" s="56"/>
    </row>
    <row r="772" spans="5:9" ht="15.75" customHeight="1" x14ac:dyDescent="0.25">
      <c r="E772" s="65"/>
      <c r="I772" s="56"/>
    </row>
    <row r="773" spans="5:9" ht="15.75" customHeight="1" x14ac:dyDescent="0.25">
      <c r="E773" s="65"/>
      <c r="I773" s="56"/>
    </row>
    <row r="774" spans="5:9" ht="15.75" customHeight="1" x14ac:dyDescent="0.25">
      <c r="E774" s="65"/>
      <c r="I774" s="56"/>
    </row>
    <row r="775" spans="5:9" ht="15.75" customHeight="1" x14ac:dyDescent="0.25">
      <c r="E775" s="65"/>
      <c r="I775" s="56"/>
    </row>
    <row r="776" spans="5:9" ht="15.75" customHeight="1" x14ac:dyDescent="0.25">
      <c r="E776" s="65"/>
      <c r="I776" s="56"/>
    </row>
    <row r="777" spans="5:9" ht="15.75" customHeight="1" x14ac:dyDescent="0.25">
      <c r="E777" s="65"/>
      <c r="I777" s="56"/>
    </row>
    <row r="778" spans="5:9" ht="15.75" customHeight="1" x14ac:dyDescent="0.25">
      <c r="E778" s="65"/>
      <c r="I778" s="56"/>
    </row>
    <row r="779" spans="5:9" ht="15.75" customHeight="1" x14ac:dyDescent="0.25">
      <c r="E779" s="65"/>
      <c r="I779" s="56"/>
    </row>
    <row r="780" spans="5:9" ht="15.75" customHeight="1" x14ac:dyDescent="0.25">
      <c r="E780" s="65"/>
      <c r="I780" s="56"/>
    </row>
    <row r="781" spans="5:9" ht="15.75" customHeight="1" x14ac:dyDescent="0.25">
      <c r="E781" s="65"/>
      <c r="I781" s="56"/>
    </row>
    <row r="782" spans="5:9" ht="15.75" customHeight="1" x14ac:dyDescent="0.25">
      <c r="E782" s="65"/>
      <c r="I782" s="56"/>
    </row>
    <row r="783" spans="5:9" ht="15.75" customHeight="1" x14ac:dyDescent="0.25">
      <c r="E783" s="65"/>
      <c r="I783" s="56"/>
    </row>
    <row r="784" spans="5:9" ht="15.75" customHeight="1" x14ac:dyDescent="0.25">
      <c r="E784" s="65"/>
      <c r="I784" s="56"/>
    </row>
    <row r="785" spans="5:9" ht="15.75" customHeight="1" x14ac:dyDescent="0.25">
      <c r="E785" s="65"/>
      <c r="I785" s="56"/>
    </row>
    <row r="786" spans="5:9" ht="15.75" customHeight="1" x14ac:dyDescent="0.25">
      <c r="E786" s="65"/>
      <c r="I786" s="56"/>
    </row>
    <row r="787" spans="5:9" ht="15.75" customHeight="1" x14ac:dyDescent="0.25">
      <c r="E787" s="65"/>
      <c r="I787" s="56"/>
    </row>
    <row r="788" spans="5:9" ht="15.75" customHeight="1" x14ac:dyDescent="0.25">
      <c r="E788" s="65"/>
      <c r="I788" s="56"/>
    </row>
    <row r="789" spans="5:9" ht="15.75" customHeight="1" x14ac:dyDescent="0.25">
      <c r="E789" s="65"/>
      <c r="I789" s="56"/>
    </row>
    <row r="790" spans="5:9" ht="15.75" customHeight="1" x14ac:dyDescent="0.25">
      <c r="E790" s="65"/>
      <c r="I790" s="56"/>
    </row>
    <row r="791" spans="5:9" ht="15.75" customHeight="1" x14ac:dyDescent="0.25">
      <c r="E791" s="65"/>
      <c r="I791" s="56"/>
    </row>
    <row r="792" spans="5:9" ht="15.75" customHeight="1" x14ac:dyDescent="0.25">
      <c r="E792" s="65"/>
      <c r="I792" s="56"/>
    </row>
    <row r="793" spans="5:9" ht="15.75" customHeight="1" x14ac:dyDescent="0.25">
      <c r="E793" s="65"/>
      <c r="I793" s="56"/>
    </row>
    <row r="794" spans="5:9" ht="15.75" customHeight="1" x14ac:dyDescent="0.25">
      <c r="E794" s="65"/>
      <c r="I794" s="56"/>
    </row>
    <row r="795" spans="5:9" ht="15.75" customHeight="1" x14ac:dyDescent="0.25">
      <c r="E795" s="65"/>
      <c r="I795" s="56"/>
    </row>
    <row r="796" spans="5:9" ht="15.75" customHeight="1" x14ac:dyDescent="0.25">
      <c r="E796" s="65"/>
      <c r="I796" s="56"/>
    </row>
    <row r="797" spans="5:9" ht="15.75" customHeight="1" x14ac:dyDescent="0.25">
      <c r="E797" s="65"/>
      <c r="I797" s="56"/>
    </row>
    <row r="798" spans="5:9" ht="15.75" customHeight="1" x14ac:dyDescent="0.25">
      <c r="E798" s="65"/>
      <c r="I798" s="56"/>
    </row>
    <row r="799" spans="5:9" ht="15.75" customHeight="1" x14ac:dyDescent="0.25">
      <c r="E799" s="65"/>
      <c r="I799" s="56"/>
    </row>
    <row r="800" spans="5:9" ht="15.75" customHeight="1" x14ac:dyDescent="0.25">
      <c r="E800" s="65"/>
      <c r="I800" s="56"/>
    </row>
    <row r="801" spans="5:9" ht="15.75" customHeight="1" x14ac:dyDescent="0.25">
      <c r="E801" s="65"/>
      <c r="I801" s="56"/>
    </row>
    <row r="802" spans="5:9" ht="15.75" customHeight="1" x14ac:dyDescent="0.25">
      <c r="E802" s="65"/>
      <c r="I802" s="56"/>
    </row>
    <row r="803" spans="5:9" ht="15.75" customHeight="1" x14ac:dyDescent="0.25">
      <c r="E803" s="65"/>
      <c r="I803" s="56"/>
    </row>
    <row r="804" spans="5:9" ht="15.75" customHeight="1" x14ac:dyDescent="0.25">
      <c r="E804" s="65"/>
      <c r="I804" s="56"/>
    </row>
    <row r="805" spans="5:9" ht="15.75" customHeight="1" x14ac:dyDescent="0.25">
      <c r="E805" s="65"/>
      <c r="I805" s="56"/>
    </row>
    <row r="806" spans="5:9" ht="15.75" customHeight="1" x14ac:dyDescent="0.25">
      <c r="E806" s="65"/>
      <c r="I806" s="56"/>
    </row>
    <row r="807" spans="5:9" ht="15.75" customHeight="1" x14ac:dyDescent="0.25">
      <c r="E807" s="65"/>
      <c r="I807" s="56"/>
    </row>
    <row r="808" spans="5:9" ht="15.75" customHeight="1" x14ac:dyDescent="0.25">
      <c r="E808" s="65"/>
      <c r="I808" s="56"/>
    </row>
    <row r="809" spans="5:9" ht="15.75" customHeight="1" x14ac:dyDescent="0.25">
      <c r="E809" s="65"/>
      <c r="I809" s="56"/>
    </row>
    <row r="810" spans="5:9" ht="15.75" customHeight="1" x14ac:dyDescent="0.25">
      <c r="E810" s="65"/>
      <c r="I810" s="56"/>
    </row>
    <row r="811" spans="5:9" ht="15.75" customHeight="1" x14ac:dyDescent="0.25">
      <c r="E811" s="65"/>
      <c r="I811" s="56"/>
    </row>
    <row r="812" spans="5:9" ht="15.75" customHeight="1" x14ac:dyDescent="0.25">
      <c r="E812" s="65"/>
      <c r="I812" s="56"/>
    </row>
    <row r="813" spans="5:9" ht="15.75" customHeight="1" x14ac:dyDescent="0.25">
      <c r="E813" s="65"/>
      <c r="I813" s="56"/>
    </row>
    <row r="814" spans="5:9" ht="15.75" customHeight="1" x14ac:dyDescent="0.25">
      <c r="E814" s="65"/>
      <c r="I814" s="56"/>
    </row>
    <row r="815" spans="5:9" ht="15.75" customHeight="1" x14ac:dyDescent="0.25">
      <c r="E815" s="65"/>
      <c r="I815" s="56"/>
    </row>
    <row r="816" spans="5:9" ht="15.75" customHeight="1" x14ac:dyDescent="0.25">
      <c r="E816" s="65"/>
      <c r="I816" s="56"/>
    </row>
    <row r="817" spans="5:9" ht="15.75" customHeight="1" x14ac:dyDescent="0.25">
      <c r="E817" s="65"/>
      <c r="I817" s="56"/>
    </row>
    <row r="818" spans="5:9" ht="15.75" customHeight="1" x14ac:dyDescent="0.25">
      <c r="E818" s="65"/>
      <c r="I818" s="56"/>
    </row>
    <row r="819" spans="5:9" ht="15.75" customHeight="1" x14ac:dyDescent="0.25">
      <c r="E819" s="65"/>
      <c r="I819" s="56"/>
    </row>
    <row r="820" spans="5:9" ht="15.75" customHeight="1" x14ac:dyDescent="0.25">
      <c r="E820" s="65"/>
      <c r="I820" s="56"/>
    </row>
    <row r="821" spans="5:9" ht="15.75" customHeight="1" x14ac:dyDescent="0.25">
      <c r="E821" s="65"/>
      <c r="I821" s="56"/>
    </row>
    <row r="822" spans="5:9" ht="15.75" customHeight="1" x14ac:dyDescent="0.25">
      <c r="E822" s="65"/>
      <c r="I822" s="56"/>
    </row>
    <row r="823" spans="5:9" ht="15.75" customHeight="1" x14ac:dyDescent="0.25">
      <c r="E823" s="65"/>
      <c r="I823" s="56"/>
    </row>
    <row r="824" spans="5:9" ht="15.75" customHeight="1" x14ac:dyDescent="0.25">
      <c r="E824" s="65"/>
      <c r="I824" s="56"/>
    </row>
    <row r="825" spans="5:9" ht="15.75" customHeight="1" x14ac:dyDescent="0.25">
      <c r="E825" s="65"/>
      <c r="I825" s="56"/>
    </row>
    <row r="826" spans="5:9" ht="15.75" customHeight="1" x14ac:dyDescent="0.25">
      <c r="E826" s="65"/>
      <c r="I826" s="56"/>
    </row>
    <row r="827" spans="5:9" ht="15.75" customHeight="1" x14ac:dyDescent="0.25">
      <c r="E827" s="65"/>
      <c r="I827" s="56"/>
    </row>
    <row r="828" spans="5:9" ht="15.75" customHeight="1" x14ac:dyDescent="0.25">
      <c r="E828" s="65"/>
      <c r="I828" s="56"/>
    </row>
    <row r="829" spans="5:9" ht="15.75" customHeight="1" x14ac:dyDescent="0.25">
      <c r="E829" s="65"/>
      <c r="I829" s="56"/>
    </row>
    <row r="830" spans="5:9" ht="15.75" customHeight="1" x14ac:dyDescent="0.25">
      <c r="E830" s="65"/>
      <c r="I830" s="56"/>
    </row>
    <row r="831" spans="5:9" ht="15.75" customHeight="1" x14ac:dyDescent="0.25">
      <c r="E831" s="65"/>
      <c r="I831" s="56"/>
    </row>
    <row r="832" spans="5:9" ht="15.75" customHeight="1" x14ac:dyDescent="0.25">
      <c r="E832" s="65"/>
      <c r="I832" s="56"/>
    </row>
    <row r="833" spans="5:9" ht="15.75" customHeight="1" x14ac:dyDescent="0.25">
      <c r="E833" s="65"/>
      <c r="I833" s="56"/>
    </row>
    <row r="834" spans="5:9" ht="15.75" customHeight="1" x14ac:dyDescent="0.25">
      <c r="E834" s="65"/>
      <c r="I834" s="56"/>
    </row>
    <row r="835" spans="5:9" ht="15.75" customHeight="1" x14ac:dyDescent="0.25">
      <c r="E835" s="65"/>
      <c r="I835" s="56"/>
    </row>
    <row r="836" spans="5:9" ht="15.75" customHeight="1" x14ac:dyDescent="0.25">
      <c r="E836" s="65"/>
      <c r="I836" s="56"/>
    </row>
    <row r="837" spans="5:9" ht="15.75" customHeight="1" x14ac:dyDescent="0.25">
      <c r="E837" s="65"/>
      <c r="I837" s="56"/>
    </row>
    <row r="838" spans="5:9" ht="15.75" customHeight="1" x14ac:dyDescent="0.25">
      <c r="E838" s="65"/>
      <c r="I838" s="56"/>
    </row>
    <row r="839" spans="5:9" ht="15.75" customHeight="1" x14ac:dyDescent="0.25">
      <c r="E839" s="65"/>
      <c r="I839" s="56"/>
    </row>
    <row r="840" spans="5:9" ht="15.75" customHeight="1" x14ac:dyDescent="0.25">
      <c r="E840" s="65"/>
      <c r="I840" s="56"/>
    </row>
    <row r="841" spans="5:9" ht="15.75" customHeight="1" x14ac:dyDescent="0.25">
      <c r="E841" s="65"/>
      <c r="I841" s="56"/>
    </row>
    <row r="842" spans="5:9" ht="15.75" customHeight="1" x14ac:dyDescent="0.25">
      <c r="E842" s="65"/>
      <c r="I842" s="56"/>
    </row>
    <row r="843" spans="5:9" ht="15.75" customHeight="1" x14ac:dyDescent="0.25">
      <c r="E843" s="65"/>
      <c r="I843" s="56"/>
    </row>
    <row r="844" spans="5:9" ht="15.75" customHeight="1" x14ac:dyDescent="0.25">
      <c r="E844" s="65"/>
      <c r="I844" s="56"/>
    </row>
    <row r="845" spans="5:9" ht="15.75" customHeight="1" x14ac:dyDescent="0.25">
      <c r="E845" s="65"/>
      <c r="I845" s="56"/>
    </row>
    <row r="846" spans="5:9" ht="15.75" customHeight="1" x14ac:dyDescent="0.25">
      <c r="E846" s="65"/>
      <c r="I846" s="56"/>
    </row>
    <row r="847" spans="5:9" ht="15.75" customHeight="1" x14ac:dyDescent="0.25">
      <c r="E847" s="65"/>
      <c r="I847" s="56"/>
    </row>
    <row r="848" spans="5:9" ht="15.75" customHeight="1" x14ac:dyDescent="0.25">
      <c r="E848" s="65"/>
      <c r="I848" s="56"/>
    </row>
    <row r="849" spans="5:9" ht="15.75" customHeight="1" x14ac:dyDescent="0.25">
      <c r="E849" s="65"/>
      <c r="I849" s="56"/>
    </row>
    <row r="850" spans="5:9" ht="15.75" customHeight="1" x14ac:dyDescent="0.25">
      <c r="E850" s="65"/>
      <c r="I850" s="56"/>
    </row>
    <row r="851" spans="5:9" ht="15.75" customHeight="1" x14ac:dyDescent="0.25">
      <c r="E851" s="65"/>
      <c r="I851" s="56"/>
    </row>
    <row r="852" spans="5:9" ht="15.75" customHeight="1" x14ac:dyDescent="0.25">
      <c r="E852" s="65"/>
      <c r="I852" s="56"/>
    </row>
    <row r="853" spans="5:9" ht="15.75" customHeight="1" x14ac:dyDescent="0.25">
      <c r="E853" s="65"/>
      <c r="I853" s="56"/>
    </row>
    <row r="854" spans="5:9" ht="15.75" customHeight="1" x14ac:dyDescent="0.25">
      <c r="E854" s="65"/>
      <c r="I854" s="56"/>
    </row>
    <row r="855" spans="5:9" ht="15.75" customHeight="1" x14ac:dyDescent="0.25">
      <c r="E855" s="65"/>
      <c r="I855" s="56"/>
    </row>
    <row r="856" spans="5:9" ht="15.75" customHeight="1" x14ac:dyDescent="0.25">
      <c r="E856" s="65"/>
      <c r="I856" s="56"/>
    </row>
    <row r="857" spans="5:9" ht="15.75" customHeight="1" x14ac:dyDescent="0.25">
      <c r="E857" s="65"/>
      <c r="I857" s="56"/>
    </row>
    <row r="858" spans="5:9" ht="15.75" customHeight="1" x14ac:dyDescent="0.25">
      <c r="E858" s="65"/>
      <c r="I858" s="56"/>
    </row>
    <row r="859" spans="5:9" ht="15.75" customHeight="1" x14ac:dyDescent="0.25">
      <c r="E859" s="65"/>
      <c r="I859" s="56"/>
    </row>
    <row r="860" spans="5:9" ht="15.75" customHeight="1" x14ac:dyDescent="0.25">
      <c r="E860" s="65"/>
      <c r="I860" s="56"/>
    </row>
    <row r="861" spans="5:9" ht="15.75" customHeight="1" x14ac:dyDescent="0.25">
      <c r="E861" s="65"/>
      <c r="I861" s="56"/>
    </row>
    <row r="862" spans="5:9" ht="15.75" customHeight="1" x14ac:dyDescent="0.25">
      <c r="E862" s="65"/>
      <c r="I862" s="56"/>
    </row>
    <row r="863" spans="5:9" ht="15.75" customHeight="1" x14ac:dyDescent="0.25">
      <c r="E863" s="65"/>
      <c r="I863" s="56"/>
    </row>
    <row r="864" spans="5:9" ht="15.75" customHeight="1" x14ac:dyDescent="0.25">
      <c r="E864" s="65"/>
      <c r="I864" s="56"/>
    </row>
    <row r="865" spans="5:9" ht="15.75" customHeight="1" x14ac:dyDescent="0.25">
      <c r="E865" s="65"/>
      <c r="I865" s="56"/>
    </row>
    <row r="866" spans="5:9" ht="15.75" customHeight="1" x14ac:dyDescent="0.25">
      <c r="E866" s="65"/>
      <c r="I866" s="56"/>
    </row>
    <row r="867" spans="5:9" ht="15.75" customHeight="1" x14ac:dyDescent="0.25">
      <c r="E867" s="65"/>
      <c r="I867" s="56"/>
    </row>
    <row r="868" spans="5:9" ht="15.75" customHeight="1" x14ac:dyDescent="0.25">
      <c r="E868" s="65"/>
      <c r="I868" s="56"/>
    </row>
    <row r="869" spans="5:9" ht="15.75" customHeight="1" x14ac:dyDescent="0.25">
      <c r="E869" s="65"/>
      <c r="I869" s="56"/>
    </row>
    <row r="870" spans="5:9" ht="15.75" customHeight="1" x14ac:dyDescent="0.25">
      <c r="E870" s="65"/>
      <c r="I870" s="56"/>
    </row>
    <row r="871" spans="5:9" ht="15.75" customHeight="1" x14ac:dyDescent="0.25">
      <c r="E871" s="65"/>
      <c r="I871" s="56"/>
    </row>
    <row r="872" spans="5:9" ht="15.75" customHeight="1" x14ac:dyDescent="0.25">
      <c r="E872" s="65"/>
      <c r="I872" s="56"/>
    </row>
    <row r="873" spans="5:9" ht="15.75" customHeight="1" x14ac:dyDescent="0.25">
      <c r="E873" s="65"/>
      <c r="I873" s="56"/>
    </row>
    <row r="874" spans="5:9" ht="15.75" customHeight="1" x14ac:dyDescent="0.25">
      <c r="E874" s="65"/>
      <c r="I874" s="56"/>
    </row>
    <row r="875" spans="5:9" ht="15.75" customHeight="1" x14ac:dyDescent="0.25">
      <c r="E875" s="65"/>
      <c r="I875" s="56"/>
    </row>
    <row r="876" spans="5:9" ht="15.75" customHeight="1" x14ac:dyDescent="0.25">
      <c r="E876" s="65"/>
      <c r="I876" s="56"/>
    </row>
    <row r="877" spans="5:9" ht="15.75" customHeight="1" x14ac:dyDescent="0.25">
      <c r="E877" s="65"/>
      <c r="I877" s="56"/>
    </row>
    <row r="878" spans="5:9" ht="15.75" customHeight="1" x14ac:dyDescent="0.25">
      <c r="E878" s="65"/>
      <c r="I878" s="56"/>
    </row>
    <row r="879" spans="5:9" ht="15.75" customHeight="1" x14ac:dyDescent="0.25">
      <c r="E879" s="65"/>
      <c r="I879" s="56"/>
    </row>
    <row r="880" spans="5:9" ht="15.75" customHeight="1" x14ac:dyDescent="0.25">
      <c r="E880" s="65"/>
      <c r="I880" s="56"/>
    </row>
    <row r="881" spans="5:9" ht="15.75" customHeight="1" x14ac:dyDescent="0.25">
      <c r="E881" s="65"/>
      <c r="I881" s="56"/>
    </row>
    <row r="882" spans="5:9" ht="15.75" customHeight="1" x14ac:dyDescent="0.25">
      <c r="E882" s="65"/>
      <c r="I882" s="56"/>
    </row>
    <row r="883" spans="5:9" ht="15.75" customHeight="1" x14ac:dyDescent="0.25">
      <c r="E883" s="65"/>
      <c r="I883" s="56"/>
    </row>
    <row r="884" spans="5:9" ht="15.75" customHeight="1" x14ac:dyDescent="0.25">
      <c r="E884" s="65"/>
      <c r="I884" s="56"/>
    </row>
    <row r="885" spans="5:9" ht="15.75" customHeight="1" x14ac:dyDescent="0.25">
      <c r="E885" s="65"/>
      <c r="I885" s="56"/>
    </row>
    <row r="886" spans="5:9" ht="15.75" customHeight="1" x14ac:dyDescent="0.25">
      <c r="E886" s="65"/>
      <c r="I886" s="56"/>
    </row>
    <row r="887" spans="5:9" ht="15.75" customHeight="1" x14ac:dyDescent="0.25">
      <c r="E887" s="65"/>
      <c r="I887" s="56"/>
    </row>
    <row r="888" spans="5:9" ht="15.75" customHeight="1" x14ac:dyDescent="0.25">
      <c r="E888" s="65"/>
      <c r="I888" s="56"/>
    </row>
    <row r="889" spans="5:9" ht="15.75" customHeight="1" x14ac:dyDescent="0.25">
      <c r="E889" s="65"/>
      <c r="I889" s="56"/>
    </row>
    <row r="890" spans="5:9" ht="15.75" customHeight="1" x14ac:dyDescent="0.25">
      <c r="E890" s="65"/>
      <c r="I890" s="56"/>
    </row>
    <row r="891" spans="5:9" ht="15.75" customHeight="1" x14ac:dyDescent="0.25">
      <c r="E891" s="65"/>
      <c r="I891" s="56"/>
    </row>
    <row r="892" spans="5:9" ht="15.75" customHeight="1" x14ac:dyDescent="0.25">
      <c r="E892" s="65"/>
      <c r="I892" s="56"/>
    </row>
    <row r="893" spans="5:9" ht="15.75" customHeight="1" x14ac:dyDescent="0.25">
      <c r="E893" s="65"/>
      <c r="I893" s="56"/>
    </row>
    <row r="894" spans="5:9" ht="15.75" customHeight="1" x14ac:dyDescent="0.25">
      <c r="E894" s="65"/>
      <c r="I894" s="56"/>
    </row>
    <row r="895" spans="5:9" ht="15.75" customHeight="1" x14ac:dyDescent="0.25">
      <c r="E895" s="65"/>
      <c r="I895" s="56"/>
    </row>
    <row r="896" spans="5:9" ht="15.75" customHeight="1" x14ac:dyDescent="0.25">
      <c r="E896" s="65"/>
      <c r="I896" s="56"/>
    </row>
    <row r="897" spans="5:9" ht="15.75" customHeight="1" x14ac:dyDescent="0.25">
      <c r="E897" s="65"/>
      <c r="I897" s="56"/>
    </row>
    <row r="898" spans="5:9" ht="15.75" customHeight="1" x14ac:dyDescent="0.25">
      <c r="E898" s="65"/>
      <c r="I898" s="56"/>
    </row>
    <row r="899" spans="5:9" ht="15.75" customHeight="1" x14ac:dyDescent="0.25">
      <c r="E899" s="65"/>
      <c r="I899" s="56"/>
    </row>
    <row r="900" spans="5:9" ht="15.75" customHeight="1" x14ac:dyDescent="0.25">
      <c r="E900" s="65"/>
      <c r="I900" s="56"/>
    </row>
    <row r="901" spans="5:9" ht="15.75" customHeight="1" x14ac:dyDescent="0.25">
      <c r="E901" s="65"/>
      <c r="I901" s="56"/>
    </row>
    <row r="902" spans="5:9" ht="15.75" customHeight="1" x14ac:dyDescent="0.25">
      <c r="E902" s="65"/>
      <c r="I902" s="56"/>
    </row>
    <row r="903" spans="5:9" ht="15.75" customHeight="1" x14ac:dyDescent="0.25">
      <c r="E903" s="65"/>
      <c r="I903" s="56"/>
    </row>
    <row r="904" spans="5:9" ht="15.75" customHeight="1" x14ac:dyDescent="0.25">
      <c r="E904" s="65"/>
      <c r="I904" s="56"/>
    </row>
    <row r="905" spans="5:9" ht="15.75" customHeight="1" x14ac:dyDescent="0.25">
      <c r="E905" s="65"/>
      <c r="I905" s="56"/>
    </row>
    <row r="906" spans="5:9" ht="15.75" customHeight="1" x14ac:dyDescent="0.25">
      <c r="E906" s="65"/>
      <c r="I906" s="56"/>
    </row>
    <row r="907" spans="5:9" ht="15.75" customHeight="1" x14ac:dyDescent="0.25">
      <c r="E907" s="65"/>
      <c r="I907" s="56"/>
    </row>
    <row r="908" spans="5:9" ht="15.75" customHeight="1" x14ac:dyDescent="0.25">
      <c r="E908" s="65"/>
      <c r="I908" s="56"/>
    </row>
    <row r="909" spans="5:9" ht="15.75" customHeight="1" x14ac:dyDescent="0.25">
      <c r="E909" s="65"/>
      <c r="I909" s="56"/>
    </row>
    <row r="910" spans="5:9" ht="15.75" customHeight="1" x14ac:dyDescent="0.25">
      <c r="E910" s="65"/>
      <c r="I910" s="56"/>
    </row>
    <row r="911" spans="5:9" ht="15.75" customHeight="1" x14ac:dyDescent="0.25">
      <c r="E911" s="65"/>
      <c r="I911" s="56"/>
    </row>
    <row r="912" spans="5:9" ht="15.75" customHeight="1" x14ac:dyDescent="0.25">
      <c r="E912" s="65"/>
      <c r="I912" s="56"/>
    </row>
    <row r="913" spans="5:9" ht="15.75" customHeight="1" x14ac:dyDescent="0.25">
      <c r="E913" s="65"/>
      <c r="I913" s="56"/>
    </row>
    <row r="914" spans="5:9" ht="15.75" customHeight="1" x14ac:dyDescent="0.25">
      <c r="E914" s="65"/>
      <c r="I914" s="56"/>
    </row>
    <row r="915" spans="5:9" ht="15.75" customHeight="1" x14ac:dyDescent="0.25">
      <c r="E915" s="65"/>
      <c r="I915" s="56"/>
    </row>
    <row r="916" spans="5:9" ht="15.75" customHeight="1" x14ac:dyDescent="0.25">
      <c r="E916" s="65"/>
      <c r="I916" s="56"/>
    </row>
    <row r="917" spans="5:9" ht="15.75" customHeight="1" x14ac:dyDescent="0.25">
      <c r="E917" s="65"/>
      <c r="I917" s="56"/>
    </row>
    <row r="918" spans="5:9" ht="15.75" customHeight="1" x14ac:dyDescent="0.25">
      <c r="E918" s="65"/>
      <c r="I918" s="56"/>
    </row>
    <row r="919" spans="5:9" ht="15.75" customHeight="1" x14ac:dyDescent="0.25">
      <c r="E919" s="65"/>
      <c r="I919" s="56"/>
    </row>
    <row r="920" spans="5:9" ht="15.75" customHeight="1" x14ac:dyDescent="0.25">
      <c r="E920" s="65"/>
      <c r="I920" s="56"/>
    </row>
    <row r="921" spans="5:9" ht="15.75" customHeight="1" x14ac:dyDescent="0.25">
      <c r="E921" s="65"/>
      <c r="I921" s="56"/>
    </row>
    <row r="922" spans="5:9" ht="15.75" customHeight="1" x14ac:dyDescent="0.25">
      <c r="E922" s="65"/>
      <c r="I922" s="56"/>
    </row>
    <row r="923" spans="5:9" ht="15.75" customHeight="1" x14ac:dyDescent="0.25">
      <c r="E923" s="65"/>
      <c r="I923" s="56"/>
    </row>
    <row r="924" spans="5:9" ht="15.75" customHeight="1" x14ac:dyDescent="0.25">
      <c r="E924" s="65"/>
      <c r="I924" s="56"/>
    </row>
    <row r="925" spans="5:9" ht="15.75" customHeight="1" x14ac:dyDescent="0.25">
      <c r="E925" s="65"/>
      <c r="I925" s="56"/>
    </row>
    <row r="926" spans="5:9" ht="15.75" customHeight="1" x14ac:dyDescent="0.25">
      <c r="E926" s="65"/>
      <c r="I926" s="56"/>
    </row>
    <row r="927" spans="5:9" ht="15.75" customHeight="1" x14ac:dyDescent="0.25">
      <c r="E927" s="65"/>
      <c r="I927" s="56"/>
    </row>
    <row r="928" spans="5:9" ht="15.75" customHeight="1" x14ac:dyDescent="0.25">
      <c r="E928" s="65"/>
      <c r="I928" s="56"/>
    </row>
    <row r="929" spans="5:9" ht="15.75" customHeight="1" x14ac:dyDescent="0.25">
      <c r="E929" s="65"/>
      <c r="I929" s="56"/>
    </row>
    <row r="930" spans="5:9" ht="15.75" customHeight="1" x14ac:dyDescent="0.25">
      <c r="E930" s="65"/>
      <c r="I930" s="56"/>
    </row>
    <row r="931" spans="5:9" ht="15.75" customHeight="1" x14ac:dyDescent="0.25">
      <c r="E931" s="65"/>
      <c r="I931" s="56"/>
    </row>
    <row r="932" spans="5:9" ht="15.75" customHeight="1" x14ac:dyDescent="0.25">
      <c r="E932" s="65"/>
      <c r="I932" s="56"/>
    </row>
    <row r="933" spans="5:9" ht="15.75" customHeight="1" x14ac:dyDescent="0.25">
      <c r="E933" s="65"/>
      <c r="I933" s="56"/>
    </row>
    <row r="934" spans="5:9" ht="15.75" customHeight="1" x14ac:dyDescent="0.25">
      <c r="E934" s="65"/>
      <c r="I934" s="56"/>
    </row>
    <row r="935" spans="5:9" ht="15.75" customHeight="1" x14ac:dyDescent="0.25">
      <c r="E935" s="65"/>
      <c r="I935" s="56"/>
    </row>
    <row r="936" spans="5:9" ht="15.75" customHeight="1" x14ac:dyDescent="0.25">
      <c r="E936" s="65"/>
      <c r="I936" s="56"/>
    </row>
    <row r="937" spans="5:9" ht="15.75" customHeight="1" x14ac:dyDescent="0.25">
      <c r="E937" s="65"/>
      <c r="I937" s="56"/>
    </row>
    <row r="938" spans="5:9" ht="15.75" customHeight="1" x14ac:dyDescent="0.25">
      <c r="E938" s="65"/>
      <c r="I938" s="56"/>
    </row>
    <row r="939" spans="5:9" ht="15.75" customHeight="1" x14ac:dyDescent="0.25">
      <c r="E939" s="65"/>
      <c r="I939" s="56"/>
    </row>
    <row r="940" spans="5:9" ht="15.75" customHeight="1" x14ac:dyDescent="0.25">
      <c r="E940" s="65"/>
      <c r="I940" s="56"/>
    </row>
    <row r="941" spans="5:9" ht="15.75" customHeight="1" x14ac:dyDescent="0.25">
      <c r="E941" s="65"/>
      <c r="I941" s="56"/>
    </row>
    <row r="942" spans="5:9" ht="15.75" customHeight="1" x14ac:dyDescent="0.25">
      <c r="E942" s="65"/>
      <c r="I942" s="56"/>
    </row>
    <row r="943" spans="5:9" ht="15.75" customHeight="1" x14ac:dyDescent="0.25">
      <c r="E943" s="65"/>
      <c r="I943" s="56"/>
    </row>
    <row r="944" spans="5:9" ht="15.75" customHeight="1" x14ac:dyDescent="0.25">
      <c r="E944" s="65"/>
      <c r="I944" s="56"/>
    </row>
    <row r="945" spans="5:9" ht="15.75" customHeight="1" x14ac:dyDescent="0.25">
      <c r="E945" s="65"/>
      <c r="I945" s="56"/>
    </row>
    <row r="946" spans="5:9" ht="15.75" customHeight="1" x14ac:dyDescent="0.25">
      <c r="E946" s="65"/>
      <c r="I946" s="56"/>
    </row>
    <row r="947" spans="5:9" ht="15.75" customHeight="1" x14ac:dyDescent="0.25">
      <c r="E947" s="65"/>
      <c r="I947" s="56"/>
    </row>
    <row r="948" spans="5:9" ht="15.75" customHeight="1" x14ac:dyDescent="0.25">
      <c r="E948" s="65"/>
      <c r="I948" s="56"/>
    </row>
    <row r="949" spans="5:9" ht="15.75" customHeight="1" x14ac:dyDescent="0.25">
      <c r="E949" s="65"/>
      <c r="I949" s="56"/>
    </row>
    <row r="950" spans="5:9" ht="15.75" customHeight="1" x14ac:dyDescent="0.25">
      <c r="E950" s="65"/>
      <c r="I950" s="56"/>
    </row>
    <row r="951" spans="5:9" ht="15.75" customHeight="1" x14ac:dyDescent="0.25">
      <c r="E951" s="65"/>
      <c r="I951" s="56"/>
    </row>
    <row r="952" spans="5:9" ht="15.75" customHeight="1" x14ac:dyDescent="0.25">
      <c r="E952" s="65"/>
      <c r="I952" s="56"/>
    </row>
    <row r="953" spans="5:9" ht="15.75" customHeight="1" x14ac:dyDescent="0.25">
      <c r="E953" s="65"/>
      <c r="I953" s="56"/>
    </row>
    <row r="954" spans="5:9" ht="15.75" customHeight="1" x14ac:dyDescent="0.25">
      <c r="E954" s="65"/>
      <c r="I954" s="56"/>
    </row>
    <row r="955" spans="5:9" ht="15.75" customHeight="1" x14ac:dyDescent="0.25">
      <c r="E955" s="65"/>
      <c r="I955" s="56"/>
    </row>
    <row r="956" spans="5:9" ht="15.75" customHeight="1" x14ac:dyDescent="0.25">
      <c r="E956" s="65"/>
      <c r="I956" s="56"/>
    </row>
    <row r="957" spans="5:9" ht="15.75" customHeight="1" x14ac:dyDescent="0.25">
      <c r="E957" s="65"/>
      <c r="I957" s="56"/>
    </row>
    <row r="958" spans="5:9" ht="15.75" customHeight="1" x14ac:dyDescent="0.25">
      <c r="E958" s="65"/>
      <c r="I958" s="56"/>
    </row>
    <row r="959" spans="5:9" ht="15.75" customHeight="1" x14ac:dyDescent="0.25">
      <c r="E959" s="65"/>
      <c r="I959" s="56"/>
    </row>
    <row r="960" spans="5:9" ht="15.75" customHeight="1" x14ac:dyDescent="0.25">
      <c r="E960" s="65"/>
      <c r="I960" s="56"/>
    </row>
    <row r="961" spans="5:9" ht="15.75" customHeight="1" x14ac:dyDescent="0.25">
      <c r="E961" s="65"/>
      <c r="I961" s="56"/>
    </row>
    <row r="962" spans="5:9" ht="15.75" customHeight="1" x14ac:dyDescent="0.25">
      <c r="E962" s="65"/>
      <c r="I962" s="56"/>
    </row>
    <row r="963" spans="5:9" ht="15.75" customHeight="1" x14ac:dyDescent="0.25">
      <c r="E963" s="65"/>
      <c r="I963" s="56"/>
    </row>
    <row r="964" spans="5:9" ht="15.75" customHeight="1" x14ac:dyDescent="0.25">
      <c r="E964" s="65"/>
      <c r="I964" s="56"/>
    </row>
    <row r="965" spans="5:9" ht="15.75" customHeight="1" x14ac:dyDescent="0.25">
      <c r="E965" s="65"/>
      <c r="I965" s="56"/>
    </row>
    <row r="966" spans="5:9" ht="15.75" customHeight="1" x14ac:dyDescent="0.25">
      <c r="E966" s="65"/>
      <c r="I966" s="56"/>
    </row>
    <row r="967" spans="5:9" ht="15.75" customHeight="1" x14ac:dyDescent="0.25">
      <c r="E967" s="65"/>
      <c r="I967" s="56"/>
    </row>
    <row r="968" spans="5:9" ht="15.75" customHeight="1" x14ac:dyDescent="0.25">
      <c r="E968" s="65"/>
      <c r="I968" s="56"/>
    </row>
    <row r="969" spans="5:9" ht="15.75" customHeight="1" x14ac:dyDescent="0.25">
      <c r="E969" s="65"/>
      <c r="I969" s="56"/>
    </row>
    <row r="970" spans="5:9" ht="15.75" customHeight="1" x14ac:dyDescent="0.25">
      <c r="E970" s="65"/>
      <c r="I970" s="56"/>
    </row>
    <row r="971" spans="5:9" ht="15.75" customHeight="1" x14ac:dyDescent="0.25">
      <c r="E971" s="65"/>
      <c r="I971" s="56"/>
    </row>
    <row r="972" spans="5:9" ht="15.75" customHeight="1" x14ac:dyDescent="0.25">
      <c r="E972" s="65"/>
      <c r="I972" s="56"/>
    </row>
    <row r="973" spans="5:9" ht="15.75" customHeight="1" x14ac:dyDescent="0.25">
      <c r="E973" s="65"/>
      <c r="I973" s="56"/>
    </row>
    <row r="974" spans="5:9" ht="15.75" customHeight="1" x14ac:dyDescent="0.25">
      <c r="E974" s="65"/>
      <c r="I974" s="56"/>
    </row>
    <row r="975" spans="5:9" ht="15.75" customHeight="1" x14ac:dyDescent="0.25">
      <c r="E975" s="65"/>
      <c r="I975" s="56"/>
    </row>
    <row r="976" spans="5:9" ht="15.75" customHeight="1" x14ac:dyDescent="0.25">
      <c r="E976" s="65"/>
      <c r="I976" s="56"/>
    </row>
    <row r="977" spans="5:9" ht="15.75" customHeight="1" x14ac:dyDescent="0.25">
      <c r="E977" s="65"/>
      <c r="I977" s="56"/>
    </row>
    <row r="978" spans="5:9" ht="15.75" customHeight="1" x14ac:dyDescent="0.25">
      <c r="E978" s="65"/>
      <c r="I978" s="56"/>
    </row>
    <row r="979" spans="5:9" ht="15.75" customHeight="1" x14ac:dyDescent="0.25">
      <c r="E979" s="65"/>
      <c r="I979" s="56"/>
    </row>
    <row r="980" spans="5:9" ht="15.75" customHeight="1" x14ac:dyDescent="0.25">
      <c r="E980" s="65"/>
      <c r="I980" s="56"/>
    </row>
    <row r="981" spans="5:9" ht="15.75" customHeight="1" x14ac:dyDescent="0.25">
      <c r="E981" s="65"/>
      <c r="I981" s="56"/>
    </row>
    <row r="982" spans="5:9" ht="15.75" customHeight="1" x14ac:dyDescent="0.25">
      <c r="E982" s="65"/>
      <c r="I982" s="56"/>
    </row>
    <row r="983" spans="5:9" ht="15.75" customHeight="1" x14ac:dyDescent="0.25">
      <c r="E983" s="65"/>
      <c r="I983" s="56"/>
    </row>
    <row r="984" spans="5:9" ht="15.75" customHeight="1" x14ac:dyDescent="0.25">
      <c r="E984" s="65"/>
      <c r="I984" s="56"/>
    </row>
    <row r="985" spans="5:9" ht="15.75" customHeight="1" x14ac:dyDescent="0.25">
      <c r="E985" s="65"/>
      <c r="I985" s="56"/>
    </row>
    <row r="986" spans="5:9" ht="15.75" customHeight="1" x14ac:dyDescent="0.25">
      <c r="E986" s="65"/>
      <c r="I986" s="56"/>
    </row>
    <row r="987" spans="5:9" ht="15.75" customHeight="1" x14ac:dyDescent="0.25">
      <c r="E987" s="65"/>
      <c r="I987" s="56"/>
    </row>
    <row r="988" spans="5:9" ht="15.75" customHeight="1" x14ac:dyDescent="0.25">
      <c r="E988" s="65"/>
      <c r="I988" s="56"/>
    </row>
    <row r="989" spans="5:9" ht="15.75" customHeight="1" x14ac:dyDescent="0.25">
      <c r="E989" s="65"/>
      <c r="I989" s="56"/>
    </row>
    <row r="990" spans="5:9" ht="15.75" customHeight="1" x14ac:dyDescent="0.25">
      <c r="E990" s="65"/>
      <c r="I990" s="56"/>
    </row>
    <row r="991" spans="5:9" ht="15.75" customHeight="1" x14ac:dyDescent="0.25">
      <c r="E991" s="65"/>
      <c r="I991" s="56"/>
    </row>
    <row r="992" spans="5:9" ht="15.75" customHeight="1" x14ac:dyDescent="0.25">
      <c r="E992" s="65"/>
      <c r="I992" s="56"/>
    </row>
    <row r="993" spans="5:9" ht="15.75" customHeight="1" x14ac:dyDescent="0.25">
      <c r="E993" s="65"/>
      <c r="I993" s="56"/>
    </row>
    <row r="994" spans="5:9" ht="15.75" customHeight="1" x14ac:dyDescent="0.25">
      <c r="E994" s="65"/>
      <c r="I994" s="56"/>
    </row>
    <row r="995" spans="5:9" ht="15.75" customHeight="1" x14ac:dyDescent="0.25">
      <c r="E995" s="65"/>
      <c r="I995" s="56"/>
    </row>
    <row r="996" spans="5:9" ht="15.75" customHeight="1" x14ac:dyDescent="0.25">
      <c r="E996" s="65"/>
      <c r="I996" s="56"/>
    </row>
    <row r="997" spans="5:9" ht="15.75" customHeight="1" x14ac:dyDescent="0.25">
      <c r="E997" s="65"/>
      <c r="I997" s="56"/>
    </row>
    <row r="998" spans="5:9" ht="15.75" customHeight="1" x14ac:dyDescent="0.25">
      <c r="E998" s="65"/>
      <c r="I998" s="56"/>
    </row>
    <row r="999" spans="5:9" ht="15.75" customHeight="1" x14ac:dyDescent="0.25">
      <c r="E999" s="65"/>
      <c r="I999" s="56"/>
    </row>
    <row r="1000" spans="5:9" ht="15.75" customHeight="1" x14ac:dyDescent="0.25">
      <c r="E1000" s="65"/>
      <c r="I1000" s="56"/>
    </row>
  </sheetData>
  <sheetProtection algorithmName="SHA-512" hashValue="XbBfCvOX8UJ1PpqBqGp6Ex9z8+aCGfs3G/7T3jrn/gWalKdAdF/c18Ufng95SUBHNhygaa8YwiE2Wo1eRcUgnA==" saltValue="XOiruZ3Ckc9a6aEHZSO8bg==" spinCount="100000" sheet="1" objects="1" scenarios="1"/>
  <mergeCells count="53">
    <mergeCell ref="C1:I1"/>
    <mergeCell ref="C3:K3"/>
    <mergeCell ref="C7:E8"/>
    <mergeCell ref="G7:H8"/>
    <mergeCell ref="I7:I8"/>
    <mergeCell ref="J7:K8"/>
    <mergeCell ref="C9:D9"/>
    <mergeCell ref="C10:D10"/>
    <mergeCell ref="C11:D11"/>
    <mergeCell ref="C12:D12"/>
    <mergeCell ref="J12:K13"/>
    <mergeCell ref="G13:H13"/>
    <mergeCell ref="G14:H14"/>
    <mergeCell ref="J14:K14"/>
    <mergeCell ref="C14:E14"/>
    <mergeCell ref="C15:D15"/>
    <mergeCell ref="C16:D16"/>
    <mergeCell ref="C17:D17"/>
    <mergeCell ref="C18:D18"/>
    <mergeCell ref="C19:D19"/>
    <mergeCell ref="J19:K20"/>
    <mergeCell ref="C20:D20"/>
    <mergeCell ref="G20:H20"/>
    <mergeCell ref="C21:D21"/>
    <mergeCell ref="C24:E25"/>
    <mergeCell ref="G24:H25"/>
    <mergeCell ref="J24:K25"/>
    <mergeCell ref="C26:D26"/>
    <mergeCell ref="G31:H31"/>
    <mergeCell ref="G32:H32"/>
    <mergeCell ref="G37:H37"/>
    <mergeCell ref="J37:K37"/>
    <mergeCell ref="G42:K48"/>
    <mergeCell ref="J31:K31"/>
    <mergeCell ref="J32:K32"/>
    <mergeCell ref="C27:D27"/>
    <mergeCell ref="C28:D28"/>
    <mergeCell ref="C29:D29"/>
    <mergeCell ref="C30:D30"/>
    <mergeCell ref="C31:E31"/>
    <mergeCell ref="C46:F46"/>
    <mergeCell ref="C32:D32"/>
    <mergeCell ref="C34:E34"/>
    <mergeCell ref="C35:D35"/>
    <mergeCell ref="C36:D36"/>
    <mergeCell ref="C37:D37"/>
    <mergeCell ref="C38:D38"/>
    <mergeCell ref="C39:D39"/>
    <mergeCell ref="C41:F41"/>
    <mergeCell ref="C42:F42"/>
    <mergeCell ref="C43:F43"/>
    <mergeCell ref="C44:F44"/>
    <mergeCell ref="C45:F45"/>
  </mergeCells>
  <conditionalFormatting sqref="G7:H22 J7:K22 G24:H39 J24:K39">
    <cfRule type="expression" dxfId="20" priority="1">
      <formula>$E$16&lt;620</formula>
    </cfRule>
    <cfRule type="expression" dxfId="19" priority="2">
      <formula>$E$15&lt;0.03</formula>
    </cfRule>
  </conditionalFormatting>
  <conditionalFormatting sqref="G7:H22 J7:K22 G24:H39">
    <cfRule type="expression" dxfId="18" priority="3">
      <formula>AND($E$15&lt;0.05,$E$18="No")</formula>
    </cfRule>
  </conditionalFormatting>
  <conditionalFormatting sqref="H12">
    <cfRule type="containsText" dxfId="17" priority="5" operator="containsText" text="*">
      <formula>NOT(ISERROR(SEARCH(("*"),(H12))))</formula>
    </cfRule>
  </conditionalFormatting>
  <conditionalFormatting sqref="H19">
    <cfRule type="containsText" dxfId="16" priority="6" operator="containsText" text="*">
      <formula>NOT(ISERROR(SEARCH(("*"),(H19))))</formula>
    </cfRule>
  </conditionalFormatting>
  <conditionalFormatting sqref="H21">
    <cfRule type="expression" dxfId="15" priority="7">
      <formula>IF($H$21&gt;$E$21,TRUE,FALSE)</formula>
    </cfRule>
    <cfRule type="expression" dxfId="14" priority="8">
      <formula>IF($H$21&lt;$E$20,TRUE,FALSE)</formula>
    </cfRule>
    <cfRule type="expression" dxfId="13" priority="9">
      <formula>IF($H$21&lt;$E$21,TRUE,FALSE)</formula>
    </cfRule>
  </conditionalFormatting>
  <conditionalFormatting sqref="H38">
    <cfRule type="expression" dxfId="12" priority="10">
      <formula>IF($H$38&gt;$E$21,TRUE,FALSE)</formula>
    </cfRule>
    <cfRule type="expression" dxfId="11" priority="11">
      <formula>IF($H$38&lt;$E$20,TRUE,FALSE)</formula>
    </cfRule>
    <cfRule type="expression" dxfId="10" priority="12">
      <formula>IF($H$38&lt;$E$21,TRUE,FALSE)</formula>
    </cfRule>
  </conditionalFormatting>
  <conditionalFormatting sqref="I7:I8">
    <cfRule type="expression" dxfId="9" priority="13">
      <formula>$E$15&lt;0.03</formula>
    </cfRule>
  </conditionalFormatting>
  <conditionalFormatting sqref="J7:K22 G24:H39 J24:K39">
    <cfRule type="expression" dxfId="8" priority="4">
      <formula>$E$15&gt;=0.2</formula>
    </cfRule>
  </conditionalFormatting>
  <conditionalFormatting sqref="J24:K39">
    <cfRule type="expression" dxfId="7" priority="14">
      <formula>$E$15&lt;0.1</formula>
    </cfRule>
  </conditionalFormatting>
  <conditionalFormatting sqref="K21">
    <cfRule type="expression" dxfId="6" priority="15">
      <formula>IF($K$21&gt;$E$21,TRUE,FALSE)</formula>
    </cfRule>
    <cfRule type="expression" dxfId="5" priority="16">
      <formula>IF($K$21&lt;$E$20,TRUE,FALSE)</formula>
    </cfRule>
    <cfRule type="expression" dxfId="4" priority="17">
      <formula>IF($K$21&lt;$E$21,TRUE,FALSE)</formula>
    </cfRule>
  </conditionalFormatting>
  <conditionalFormatting sqref="K38">
    <cfRule type="expression" dxfId="3" priority="18">
      <formula>IF($K$38&gt;$E$21,TRUE,FALSE)</formula>
    </cfRule>
    <cfRule type="expression" dxfId="2" priority="19">
      <formula>IF($K$38&lt;$E$20,TRUE,FALSE)</formula>
    </cfRule>
    <cfRule type="expression" dxfId="1" priority="20">
      <formula>IF($K$38&lt;$E$21,TRUE,FALSE)</formula>
    </cfRule>
  </conditionalFormatting>
  <dataValidations count="1">
    <dataValidation type="list" allowBlank="1" showErrorMessage="1" sqref="E18:E19" xr:uid="{00000000-0002-0000-0000-000001000000}">
      <formula1>"Yes,No"</formula1>
    </dataValidation>
  </dataValidations>
  <hyperlinks>
    <hyperlink ref="C45" r:id="rId1" xr:uid="{050042FD-BD0A-479F-9580-50FE78CA2A2D}"/>
  </hyperlinks>
  <pageMargins left="0.25" right="0.25" top="0.75" bottom="0.75" header="0" footer="0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Calcs!$AQ$4:$AQ$5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showGridLines="0" workbookViewId="0">
      <selection activeCell="M16" sqref="M16"/>
    </sheetView>
  </sheetViews>
  <sheetFormatPr defaultColWidth="14.42578125" defaultRowHeight="15" customHeight="1" x14ac:dyDescent="0.25"/>
  <cols>
    <col min="1" max="1" width="1.42578125" customWidth="1"/>
    <col min="2" max="2" width="2.140625" customWidth="1"/>
    <col min="3" max="3" width="26.85546875" customWidth="1"/>
    <col min="4" max="4" width="2.85546875" customWidth="1"/>
    <col min="5" max="5" width="4.28515625" customWidth="1"/>
    <col min="6" max="6" width="5" customWidth="1"/>
    <col min="7" max="7" width="8.28515625" customWidth="1"/>
    <col min="8" max="8" width="2.140625" customWidth="1"/>
    <col min="9" max="9" width="11.42578125" customWidth="1"/>
    <col min="10" max="10" width="12.85546875" customWidth="1"/>
    <col min="11" max="12" width="7.140625" customWidth="1"/>
    <col min="13" max="13" width="9.140625" customWidth="1"/>
    <col min="14" max="14" width="2.140625" customWidth="1"/>
    <col min="15" max="26" width="8.7109375" customWidth="1"/>
  </cols>
  <sheetData>
    <row r="1" spans="2:14" ht="11.25" customHeight="1" x14ac:dyDescent="0.25"/>
    <row r="2" spans="2:14" ht="11.2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30" customHeight="1" x14ac:dyDescent="0.25">
      <c r="B3" s="14"/>
      <c r="C3" s="263" t="s">
        <v>44</v>
      </c>
      <c r="D3" s="200"/>
      <c r="E3" s="200"/>
      <c r="F3" s="200"/>
      <c r="G3" s="200"/>
      <c r="H3" s="200"/>
      <c r="I3" s="200"/>
      <c r="J3" s="200"/>
      <c r="K3" s="200"/>
      <c r="L3" s="200"/>
      <c r="M3" s="201"/>
      <c r="N3" s="5"/>
    </row>
    <row r="4" spans="2:14" ht="11.25" customHeight="1" x14ac:dyDescent="0.25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5"/>
    </row>
    <row r="5" spans="2:14" ht="30" customHeight="1" x14ac:dyDescent="0.35">
      <c r="B5" s="14"/>
      <c r="C5" s="71" t="s">
        <v>0</v>
      </c>
      <c r="D5" s="72"/>
      <c r="E5" s="72"/>
      <c r="F5" s="72"/>
      <c r="G5" s="73"/>
      <c r="H5" s="73"/>
      <c r="I5" s="73"/>
      <c r="J5" s="73"/>
      <c r="K5" s="73"/>
      <c r="L5" s="73"/>
      <c r="M5" s="74" t="str">
        <f>'Payment Summaries'!K5</f>
        <v>Bollette</v>
      </c>
      <c r="N5" s="5"/>
    </row>
    <row r="6" spans="2:14" ht="11.25" customHeight="1" x14ac:dyDescent="0.25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5"/>
    </row>
    <row r="7" spans="2:14" ht="37.5" customHeight="1" x14ac:dyDescent="0.3">
      <c r="B7" s="14"/>
      <c r="C7" s="264" t="s">
        <v>45</v>
      </c>
      <c r="D7" s="200"/>
      <c r="E7" s="200"/>
      <c r="F7" s="200"/>
      <c r="G7" s="200"/>
      <c r="H7" s="200"/>
      <c r="I7" s="200"/>
      <c r="J7" s="200"/>
      <c r="K7" s="200"/>
      <c r="L7" s="200"/>
      <c r="M7" s="201"/>
      <c r="N7" s="5"/>
    </row>
    <row r="8" spans="2:14" ht="11.25" customHeight="1" x14ac:dyDescent="0.25"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5"/>
    </row>
    <row r="9" spans="2:14" ht="22.5" customHeight="1" x14ac:dyDescent="0.25">
      <c r="B9" s="14"/>
      <c r="C9" s="232" t="s">
        <v>46</v>
      </c>
      <c r="D9" s="200"/>
      <c r="E9" s="200"/>
      <c r="F9" s="200"/>
      <c r="G9" s="201"/>
      <c r="H9" s="15"/>
      <c r="I9" s="265" t="s">
        <v>47</v>
      </c>
      <c r="J9" s="247"/>
      <c r="K9" s="247"/>
      <c r="L9" s="247"/>
      <c r="M9" s="248"/>
      <c r="N9" s="5"/>
    </row>
    <row r="10" spans="2:14" ht="15" customHeight="1" x14ac:dyDescent="0.25">
      <c r="B10" s="14"/>
      <c r="C10" s="75" t="s">
        <v>48</v>
      </c>
      <c r="D10" s="76"/>
      <c r="E10" s="76"/>
      <c r="F10" s="77"/>
      <c r="G10" s="78" t="s">
        <v>49</v>
      </c>
      <c r="H10" s="15"/>
      <c r="I10" s="79" t="s">
        <v>50</v>
      </c>
      <c r="J10" s="80"/>
      <c r="K10" s="80"/>
      <c r="L10" s="80" t="s">
        <v>51</v>
      </c>
      <c r="M10" s="81">
        <f>SUM(M11:M12)</f>
        <v>1595</v>
      </c>
      <c r="N10" s="5"/>
    </row>
    <row r="11" spans="2:14" ht="15" customHeight="1" x14ac:dyDescent="0.25">
      <c r="B11" s="14"/>
      <c r="C11" s="82" t="s">
        <v>52</v>
      </c>
      <c r="F11" s="83"/>
      <c r="G11" s="84" t="s">
        <v>53</v>
      </c>
      <c r="H11" s="15"/>
      <c r="I11" s="260" t="s">
        <v>54</v>
      </c>
      <c r="J11" s="209"/>
      <c r="K11" s="85"/>
      <c r="L11" s="85"/>
      <c r="M11" s="86">
        <v>1595</v>
      </c>
      <c r="N11" s="5"/>
    </row>
    <row r="12" spans="2:14" ht="15" customHeight="1" x14ac:dyDescent="0.25">
      <c r="B12" s="14"/>
      <c r="C12" s="82" t="s">
        <v>55</v>
      </c>
      <c r="F12" s="83"/>
      <c r="G12" s="84" t="s">
        <v>56</v>
      </c>
      <c r="H12" s="15"/>
      <c r="I12" s="259" t="s">
        <v>57</v>
      </c>
      <c r="J12" s="216"/>
      <c r="K12" s="87"/>
      <c r="L12" s="88">
        <v>0</v>
      </c>
      <c r="M12" s="89">
        <f>L12*F15</f>
        <v>0</v>
      </c>
      <c r="N12" s="5"/>
    </row>
    <row r="13" spans="2:14" ht="15" customHeight="1" x14ac:dyDescent="0.25">
      <c r="B13" s="14"/>
      <c r="C13" s="82"/>
      <c r="F13" s="83"/>
      <c r="G13" s="84"/>
      <c r="H13" s="15"/>
      <c r="I13" s="90" t="s">
        <v>58</v>
      </c>
      <c r="J13" s="91"/>
      <c r="K13" s="91"/>
      <c r="L13" s="80" t="s">
        <v>51</v>
      </c>
      <c r="M13" s="92">
        <f>SUM(M14:M17)</f>
        <v>794</v>
      </c>
      <c r="N13" s="5"/>
    </row>
    <row r="14" spans="2:14" ht="15" customHeight="1" x14ac:dyDescent="0.25">
      <c r="B14" s="14"/>
      <c r="C14" s="82" t="s">
        <v>3</v>
      </c>
      <c r="F14" s="261">
        <f>'Payment Summaries'!E9</f>
        <v>750000</v>
      </c>
      <c r="G14" s="262"/>
      <c r="H14" s="15"/>
      <c r="I14" s="260" t="s">
        <v>59</v>
      </c>
      <c r="J14" s="209"/>
      <c r="K14" s="85"/>
      <c r="L14" s="85"/>
      <c r="M14" s="86">
        <v>475</v>
      </c>
      <c r="N14" s="5"/>
    </row>
    <row r="15" spans="2:14" ht="15" customHeight="1" x14ac:dyDescent="0.25">
      <c r="B15" s="14"/>
      <c r="C15" s="82" t="s">
        <v>4</v>
      </c>
      <c r="F15" s="261">
        <f>F14*G18</f>
        <v>600000</v>
      </c>
      <c r="G15" s="262"/>
      <c r="H15" s="15"/>
      <c r="I15" s="258" t="s">
        <v>60</v>
      </c>
      <c r="J15" s="195"/>
      <c r="K15" s="68"/>
      <c r="L15" s="68"/>
      <c r="M15" s="93">
        <v>309</v>
      </c>
      <c r="N15" s="5"/>
    </row>
    <row r="16" spans="2:14" ht="15" customHeight="1" x14ac:dyDescent="0.25">
      <c r="B16" s="14"/>
      <c r="C16" s="82" t="s">
        <v>8</v>
      </c>
      <c r="F16" s="83"/>
      <c r="G16" s="94">
        <f>'Payment Summaries'!H11</f>
        <v>6.25E-2</v>
      </c>
      <c r="H16" s="15"/>
      <c r="I16" s="258" t="s">
        <v>61</v>
      </c>
      <c r="J16" s="195"/>
      <c r="K16" s="68"/>
      <c r="L16" s="68"/>
      <c r="M16" s="93">
        <v>10</v>
      </c>
      <c r="N16" s="5"/>
    </row>
    <row r="17" spans="2:17" ht="15" customHeight="1" x14ac:dyDescent="0.25">
      <c r="B17" s="14"/>
      <c r="C17" s="82" t="s">
        <v>62</v>
      </c>
      <c r="F17" s="83"/>
      <c r="G17" s="94">
        <f>Calcs!AK17</f>
        <v>6.288654357394681E-2</v>
      </c>
      <c r="H17" s="15"/>
      <c r="I17" s="259" t="s">
        <v>63</v>
      </c>
      <c r="J17" s="216"/>
      <c r="K17" s="87"/>
      <c r="L17" s="87"/>
      <c r="M17" s="89">
        <v>0</v>
      </c>
      <c r="N17" s="5"/>
    </row>
    <row r="18" spans="2:17" ht="15" customHeight="1" x14ac:dyDescent="0.25">
      <c r="B18" s="14"/>
      <c r="C18" s="95" t="s">
        <v>64</v>
      </c>
      <c r="D18" s="59"/>
      <c r="E18" s="59"/>
      <c r="F18" s="96"/>
      <c r="G18" s="97">
        <f>1-'Payment Summaries'!E15</f>
        <v>0.8</v>
      </c>
      <c r="H18" s="15"/>
      <c r="I18" s="90" t="s">
        <v>65</v>
      </c>
      <c r="J18" s="91"/>
      <c r="K18" s="91"/>
      <c r="L18" s="80" t="s">
        <v>51</v>
      </c>
      <c r="M18" s="92">
        <f>SUM(M19:M29)</f>
        <v>3980.25</v>
      </c>
      <c r="N18" s="5"/>
    </row>
    <row r="19" spans="2:17" ht="15" customHeight="1" x14ac:dyDescent="0.25">
      <c r="B19" s="14"/>
      <c r="C19" s="15"/>
      <c r="D19" s="15"/>
      <c r="E19" s="15"/>
      <c r="F19" s="15"/>
      <c r="G19" s="15"/>
      <c r="H19" s="15"/>
      <c r="I19" s="75" t="s">
        <v>66</v>
      </c>
      <c r="J19" s="76"/>
      <c r="K19" s="85"/>
      <c r="L19" s="85"/>
      <c r="M19" s="86">
        <v>75</v>
      </c>
      <c r="N19" s="5"/>
    </row>
    <row r="20" spans="2:17" ht="22.5" customHeight="1" x14ac:dyDescent="0.25">
      <c r="B20" s="14"/>
      <c r="C20" s="232" t="s">
        <v>67</v>
      </c>
      <c r="D20" s="200"/>
      <c r="E20" s="200"/>
      <c r="F20" s="200"/>
      <c r="G20" s="201"/>
      <c r="H20" s="15"/>
      <c r="I20" s="82" t="s">
        <v>68</v>
      </c>
      <c r="K20" s="68"/>
      <c r="L20" s="68"/>
      <c r="M20" s="93">
        <v>650</v>
      </c>
      <c r="N20" s="5"/>
    </row>
    <row r="21" spans="2:17" ht="15" customHeight="1" x14ac:dyDescent="0.25">
      <c r="B21" s="14"/>
      <c r="C21" s="79" t="s">
        <v>69</v>
      </c>
      <c r="D21" s="98"/>
      <c r="E21" s="80" t="s">
        <v>51</v>
      </c>
      <c r="F21" s="80"/>
      <c r="G21" s="81">
        <f>SUM(G22:G25)</f>
        <v>436</v>
      </c>
      <c r="H21" s="15"/>
      <c r="I21" s="82" t="s">
        <v>70</v>
      </c>
      <c r="K21" s="68"/>
      <c r="L21" s="68"/>
      <c r="M21" s="93">
        <v>60</v>
      </c>
      <c r="N21" s="5"/>
    </row>
    <row r="22" spans="2:17" ht="15" customHeight="1" x14ac:dyDescent="0.25">
      <c r="B22" s="14"/>
      <c r="C22" s="260" t="s">
        <v>71</v>
      </c>
      <c r="D22" s="209"/>
      <c r="E22" s="209"/>
      <c r="F22" s="85"/>
      <c r="G22" s="86">
        <v>83</v>
      </c>
      <c r="H22" s="15"/>
      <c r="I22" s="82" t="s">
        <v>72</v>
      </c>
      <c r="K22" s="68"/>
      <c r="L22" s="68"/>
      <c r="M22" s="93">
        <v>50</v>
      </c>
      <c r="N22" s="5"/>
    </row>
    <row r="23" spans="2:17" ht="15" customHeight="1" x14ac:dyDescent="0.25">
      <c r="B23" s="14"/>
      <c r="C23" s="258" t="s">
        <v>73</v>
      </c>
      <c r="D23" s="195"/>
      <c r="E23" s="195"/>
      <c r="F23" s="68"/>
      <c r="G23" s="93">
        <v>333</v>
      </c>
      <c r="H23" s="15"/>
      <c r="I23" s="82" t="s">
        <v>74</v>
      </c>
      <c r="L23" s="68"/>
      <c r="M23" s="93">
        <f>Calcs!AN6</f>
        <v>2706.25</v>
      </c>
      <c r="N23" s="5"/>
    </row>
    <row r="24" spans="2:17" ht="15" customHeight="1" x14ac:dyDescent="0.25">
      <c r="B24" s="14"/>
      <c r="C24" s="258" t="s">
        <v>75</v>
      </c>
      <c r="D24" s="195"/>
      <c r="E24" s="195"/>
      <c r="F24" s="68"/>
      <c r="G24" s="93">
        <v>20</v>
      </c>
      <c r="H24" s="15"/>
      <c r="I24" s="82" t="s">
        <v>76</v>
      </c>
      <c r="K24" s="68"/>
      <c r="L24" s="68"/>
      <c r="M24" s="93">
        <v>25</v>
      </c>
      <c r="N24" s="5"/>
    </row>
    <row r="25" spans="2:17" ht="15" customHeight="1" x14ac:dyDescent="0.25">
      <c r="B25" s="14"/>
      <c r="C25" s="259" t="s">
        <v>77</v>
      </c>
      <c r="D25" s="216"/>
      <c r="E25" s="216"/>
      <c r="F25" s="87"/>
      <c r="G25" s="89">
        <f>IF(F14&gt;=1000000,F14*0.01,0)</f>
        <v>0</v>
      </c>
      <c r="H25" s="15"/>
      <c r="I25" s="82" t="s">
        <v>78</v>
      </c>
      <c r="K25" s="68"/>
      <c r="L25" s="68"/>
      <c r="M25" s="93">
        <v>15</v>
      </c>
      <c r="N25" s="5"/>
    </row>
    <row r="26" spans="2:17" ht="15" customHeight="1" x14ac:dyDescent="0.25">
      <c r="B26" s="14"/>
      <c r="C26" s="90" t="s">
        <v>79</v>
      </c>
      <c r="D26" s="99"/>
      <c r="E26" s="91" t="s">
        <v>51</v>
      </c>
      <c r="F26" s="91"/>
      <c r="G26" s="92">
        <f>SUM(G27:G28)</f>
        <v>1731.75</v>
      </c>
      <c r="H26" s="15"/>
      <c r="I26" s="82" t="s">
        <v>80</v>
      </c>
      <c r="K26" s="68"/>
      <c r="L26" s="68"/>
      <c r="M26" s="93">
        <v>100</v>
      </c>
      <c r="N26" s="5"/>
    </row>
    <row r="27" spans="2:17" ht="15" customHeight="1" x14ac:dyDescent="0.25">
      <c r="B27" s="14"/>
      <c r="C27" s="260" t="s">
        <v>81</v>
      </c>
      <c r="D27" s="209"/>
      <c r="E27" s="209"/>
      <c r="F27" s="85"/>
      <c r="G27" s="86">
        <v>1500</v>
      </c>
      <c r="H27" s="15"/>
      <c r="I27" s="82" t="s">
        <v>82</v>
      </c>
      <c r="K27" s="68"/>
      <c r="L27" s="68"/>
      <c r="M27" s="93">
        <v>100</v>
      </c>
      <c r="N27" s="5"/>
      <c r="Q27" s="23"/>
    </row>
    <row r="28" spans="2:17" ht="15" customHeight="1" x14ac:dyDescent="0.25">
      <c r="B28" s="14"/>
      <c r="C28" s="259" t="s">
        <v>83</v>
      </c>
      <c r="D28" s="216"/>
      <c r="E28" s="216"/>
      <c r="F28" s="87"/>
      <c r="G28" s="89">
        <f>Calcs!AO6</f>
        <v>231.75</v>
      </c>
      <c r="H28" s="15"/>
      <c r="I28" s="82" t="s">
        <v>84</v>
      </c>
      <c r="K28" s="68"/>
      <c r="L28" s="68"/>
      <c r="M28" s="93">
        <v>187</v>
      </c>
      <c r="N28" s="5"/>
    </row>
    <row r="29" spans="2:17" ht="15" customHeight="1" x14ac:dyDescent="0.25">
      <c r="B29" s="14"/>
      <c r="C29" s="90" t="s">
        <v>85</v>
      </c>
      <c r="D29" s="99"/>
      <c r="E29" s="91" t="s">
        <v>51</v>
      </c>
      <c r="F29" s="91"/>
      <c r="G29" s="92">
        <f>SUM(G30:G32)</f>
        <v>5695.8333333333339</v>
      </c>
      <c r="H29" s="15"/>
      <c r="I29" s="82" t="s">
        <v>86</v>
      </c>
      <c r="K29" s="68"/>
      <c r="L29" s="68"/>
      <c r="M29" s="93">
        <v>12</v>
      </c>
      <c r="N29" s="5"/>
    </row>
    <row r="30" spans="2:17" ht="15" customHeight="1" x14ac:dyDescent="0.25">
      <c r="B30" s="14"/>
      <c r="C30" s="260" t="s">
        <v>87</v>
      </c>
      <c r="D30" s="209"/>
      <c r="E30" s="209"/>
      <c r="F30" s="85"/>
      <c r="G30" s="86">
        <f>'Payment Summaries'!E11</f>
        <v>1800</v>
      </c>
      <c r="H30" s="15"/>
      <c r="I30" s="252" t="s">
        <v>88</v>
      </c>
      <c r="J30" s="200"/>
      <c r="K30" s="200"/>
      <c r="L30" s="253"/>
      <c r="M30" s="100">
        <f>SUM(M10,M13,M18)</f>
        <v>6369.25</v>
      </c>
      <c r="N30" s="5"/>
    </row>
    <row r="31" spans="2:17" ht="15" customHeight="1" x14ac:dyDescent="0.25">
      <c r="B31" s="14"/>
      <c r="C31" s="82" t="s">
        <v>89</v>
      </c>
      <c r="E31" s="244">
        <f>'Payment Summaries'!H9*G16/360</f>
        <v>104.16666666666667</v>
      </c>
      <c r="F31" s="195"/>
      <c r="G31" s="93">
        <f>E31*15</f>
        <v>1562.5</v>
      </c>
      <c r="H31" s="15"/>
      <c r="I31" s="15"/>
      <c r="J31" s="15"/>
      <c r="K31" s="15"/>
      <c r="L31" s="15"/>
      <c r="M31" s="15"/>
      <c r="N31" s="5"/>
    </row>
    <row r="32" spans="2:17" ht="15" customHeight="1" x14ac:dyDescent="0.25">
      <c r="B32" s="14"/>
      <c r="C32" s="95" t="s">
        <v>90</v>
      </c>
      <c r="D32" s="59"/>
      <c r="E32" s="245">
        <f>'Payment Summaries'!E10/12</f>
        <v>1166.6666666666667</v>
      </c>
      <c r="F32" s="216"/>
      <c r="G32" s="89">
        <f>E32*2</f>
        <v>2333.3333333333335</v>
      </c>
      <c r="H32" s="15"/>
      <c r="I32" s="246" t="s">
        <v>91</v>
      </c>
      <c r="J32" s="247"/>
      <c r="K32" s="247"/>
      <c r="L32" s="247"/>
      <c r="M32" s="248"/>
      <c r="N32" s="5"/>
    </row>
    <row r="33" spans="2:14" ht="15" customHeight="1" x14ac:dyDescent="0.25">
      <c r="B33" s="14"/>
      <c r="C33" s="90" t="s">
        <v>92</v>
      </c>
      <c r="D33" s="99"/>
      <c r="E33" s="91" t="s">
        <v>51</v>
      </c>
      <c r="F33" s="91"/>
      <c r="G33" s="92">
        <f>SUM(G34:G35)</f>
        <v>4100</v>
      </c>
      <c r="H33" s="15"/>
      <c r="I33" s="233" t="s">
        <v>93</v>
      </c>
      <c r="J33" s="209"/>
      <c r="K33" s="101"/>
      <c r="L33" s="101"/>
      <c r="M33" s="86">
        <f>SUM(G36,M30)</f>
        <v>18332.833333333336</v>
      </c>
      <c r="N33" s="5"/>
    </row>
    <row r="34" spans="2:14" ht="15" customHeight="1" x14ac:dyDescent="0.25">
      <c r="B34" s="14"/>
      <c r="C34" s="75" t="s">
        <v>166</v>
      </c>
      <c r="D34" s="76"/>
      <c r="E34" s="249">
        <f>'Payment Summaries'!E11/12</f>
        <v>150</v>
      </c>
      <c r="F34" s="209"/>
      <c r="G34" s="86">
        <f>E34*4</f>
        <v>600</v>
      </c>
      <c r="H34" s="15"/>
      <c r="I34" s="250" t="s">
        <v>6</v>
      </c>
      <c r="J34" s="195"/>
      <c r="K34" s="102"/>
      <c r="L34" s="102"/>
      <c r="M34" s="93">
        <f>F14-F15</f>
        <v>150000</v>
      </c>
      <c r="N34" s="5"/>
    </row>
    <row r="35" spans="2:14" ht="15" customHeight="1" x14ac:dyDescent="0.25">
      <c r="B35" s="14"/>
      <c r="C35" s="95" t="s">
        <v>94</v>
      </c>
      <c r="D35" s="59"/>
      <c r="E35" s="245">
        <f>'Payment Summaries'!E10/12</f>
        <v>1166.6666666666667</v>
      </c>
      <c r="F35" s="216"/>
      <c r="G35" s="89">
        <f t="shared" ref="G35" si="0">E35*3</f>
        <v>3500</v>
      </c>
      <c r="H35" s="15"/>
      <c r="I35" s="251" t="s">
        <v>95</v>
      </c>
      <c r="J35" s="216"/>
      <c r="K35" s="103"/>
      <c r="L35" s="103"/>
      <c r="M35" s="89">
        <f>'Payment Summaries'!E30</f>
        <v>0</v>
      </c>
      <c r="N35" s="5"/>
    </row>
    <row r="36" spans="2:14" ht="15" customHeight="1" x14ac:dyDescent="0.25">
      <c r="B36" s="14"/>
      <c r="C36" s="254" t="s">
        <v>96</v>
      </c>
      <c r="D36" s="255"/>
      <c r="E36" s="256"/>
      <c r="F36" s="104"/>
      <c r="G36" s="105">
        <f>SUM(G21,G26,G29,G33)</f>
        <v>11963.583333333334</v>
      </c>
      <c r="H36" s="15"/>
      <c r="I36" s="257" t="s">
        <v>97</v>
      </c>
      <c r="J36" s="256"/>
      <c r="K36" s="106"/>
      <c r="L36" s="106"/>
      <c r="M36" s="105">
        <f>SUM(M33:M34)-M35</f>
        <v>168332.83333333334</v>
      </c>
      <c r="N36" s="5"/>
    </row>
    <row r="37" spans="2:14" ht="15" customHeight="1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"/>
    </row>
    <row r="38" spans="2:14" ht="15.75" customHeight="1" x14ac:dyDescent="0.3">
      <c r="B38" s="14"/>
      <c r="C38" s="15"/>
      <c r="D38" s="15"/>
      <c r="E38" s="15"/>
      <c r="F38" s="15"/>
      <c r="G38" s="107" t="s">
        <v>98</v>
      </c>
      <c r="H38" s="108"/>
      <c r="I38" s="108"/>
      <c r="J38" s="109"/>
      <c r="K38" s="109"/>
      <c r="L38" s="110"/>
      <c r="M38" s="15"/>
      <c r="N38" s="5"/>
    </row>
    <row r="39" spans="2:14" ht="15.75" customHeight="1" x14ac:dyDescent="0.3">
      <c r="B39" s="14"/>
      <c r="C39" s="15"/>
      <c r="D39" s="15"/>
      <c r="E39" s="15"/>
      <c r="F39" s="15"/>
      <c r="G39" s="241" t="s">
        <v>99</v>
      </c>
      <c r="H39" s="242"/>
      <c r="I39" s="243"/>
      <c r="L39" s="111"/>
      <c r="M39" s="15"/>
      <c r="N39" s="5"/>
    </row>
    <row r="40" spans="2:14" ht="15.75" customHeight="1" x14ac:dyDescent="0.3">
      <c r="B40" s="14"/>
      <c r="C40" s="15"/>
      <c r="D40" s="15"/>
      <c r="E40" s="15"/>
      <c r="F40" s="15"/>
      <c r="G40" s="241" t="s">
        <v>100</v>
      </c>
      <c r="H40" s="242"/>
      <c r="I40" s="243"/>
      <c r="J40" s="112"/>
      <c r="K40" s="112"/>
      <c r="L40" s="113"/>
      <c r="M40" s="15"/>
      <c r="N40" s="5"/>
    </row>
    <row r="41" spans="2:14" ht="15.75" customHeight="1" x14ac:dyDescent="0.3">
      <c r="B41" s="14"/>
      <c r="C41" s="15"/>
      <c r="D41" s="15"/>
      <c r="E41" s="15"/>
      <c r="F41" s="15"/>
      <c r="G41" s="114" t="s">
        <v>101</v>
      </c>
      <c r="H41" s="115"/>
      <c r="I41" s="115"/>
      <c r="J41" s="115"/>
      <c r="K41" s="112"/>
      <c r="L41" s="113"/>
      <c r="M41" s="15"/>
      <c r="N41" s="5"/>
    </row>
    <row r="42" spans="2:14" ht="15.75" customHeight="1" x14ac:dyDescent="0.3">
      <c r="B42" s="14"/>
      <c r="C42" s="15"/>
      <c r="D42" s="15"/>
      <c r="E42" s="15"/>
      <c r="F42" s="15"/>
      <c r="G42" s="192" t="s">
        <v>168</v>
      </c>
      <c r="H42" s="116"/>
      <c r="I42" s="116"/>
      <c r="J42" s="116"/>
      <c r="K42" s="115"/>
      <c r="L42" s="113"/>
      <c r="M42" s="15"/>
      <c r="N42" s="5"/>
    </row>
    <row r="43" spans="2:14" ht="15.75" customHeight="1" x14ac:dyDescent="0.3">
      <c r="B43" s="14"/>
      <c r="C43" s="15"/>
      <c r="D43" s="15"/>
      <c r="E43" s="15"/>
      <c r="F43" s="15"/>
      <c r="G43" s="117"/>
      <c r="H43" s="118"/>
      <c r="I43" s="118"/>
      <c r="J43" s="118"/>
      <c r="K43" s="118"/>
      <c r="L43" s="119"/>
      <c r="M43" s="15"/>
      <c r="N43" s="5"/>
    </row>
    <row r="44" spans="2:14" ht="15.75" customHeight="1" x14ac:dyDescent="0.25"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4"/>
    </row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PnmSlyZTNZPk+gIcAe0HpIZ71AsiIyjkVE2hpIOgqP0MoWOlShOqwFmrcOu0OwxsJGe0F/wi+pVJuHd6kIzaHg==" saltValue="Q+JHh7OOwIfLEH6+eQuXJA==" spinCount="100000" sheet="1" objects="1" scenarios="1"/>
  <mergeCells count="33">
    <mergeCell ref="C3:M3"/>
    <mergeCell ref="C7:M7"/>
    <mergeCell ref="C9:G9"/>
    <mergeCell ref="I9:M9"/>
    <mergeCell ref="I11:J11"/>
    <mergeCell ref="I12:J12"/>
    <mergeCell ref="I14:J14"/>
    <mergeCell ref="F14:G14"/>
    <mergeCell ref="F15:G15"/>
    <mergeCell ref="I15:J15"/>
    <mergeCell ref="I16:J16"/>
    <mergeCell ref="I17:J17"/>
    <mergeCell ref="C20:G20"/>
    <mergeCell ref="C22:E22"/>
    <mergeCell ref="C23:E23"/>
    <mergeCell ref="C24:E24"/>
    <mergeCell ref="C25:E25"/>
    <mergeCell ref="C27:E27"/>
    <mergeCell ref="C28:E28"/>
    <mergeCell ref="C30:E30"/>
    <mergeCell ref="I30:L30"/>
    <mergeCell ref="E35:F35"/>
    <mergeCell ref="C36:E36"/>
    <mergeCell ref="I36:J36"/>
    <mergeCell ref="G39:I39"/>
    <mergeCell ref="G40:I40"/>
    <mergeCell ref="E31:F31"/>
    <mergeCell ref="E32:F32"/>
    <mergeCell ref="I32:M32"/>
    <mergeCell ref="I33:J33"/>
    <mergeCell ref="E34:F34"/>
    <mergeCell ref="I34:J34"/>
    <mergeCell ref="I35:J35"/>
  </mergeCells>
  <hyperlinks>
    <hyperlink ref="G42" r:id="rId1" xr:uid="{00000000-0004-0000-0100-000000000000}"/>
  </hyperlinks>
  <pageMargins left="0.25" right="0.25" top="0.75" bottom="0.75" header="0" footer="0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2578125" defaultRowHeight="15" customHeight="1" x14ac:dyDescent="0.25"/>
  <cols>
    <col min="1" max="1" width="1.42578125" customWidth="1"/>
    <col min="2" max="2" width="2.140625" customWidth="1"/>
    <col min="3" max="3" width="14.85546875" customWidth="1"/>
    <col min="4" max="4" width="8.5703125" customWidth="1"/>
    <col min="5" max="5" width="2.140625" customWidth="1"/>
    <col min="6" max="6" width="6.5703125" customWidth="1"/>
    <col min="7" max="10" width="9.7109375" customWidth="1"/>
    <col min="11" max="11" width="11.7109375" customWidth="1"/>
    <col min="12" max="12" width="12.140625" customWidth="1"/>
    <col min="13" max="13" width="2.140625" customWidth="1"/>
    <col min="14" max="26" width="8.7109375" customWidth="1"/>
  </cols>
  <sheetData>
    <row r="1" spans="1:26" ht="11.25" customHeight="1" x14ac:dyDescent="0.25">
      <c r="C1" s="120"/>
      <c r="D1" s="120"/>
      <c r="E1" s="120"/>
      <c r="L1" s="56"/>
    </row>
    <row r="2" spans="1:26" ht="11.25" customHeight="1" x14ac:dyDescent="0.25">
      <c r="B2" s="1"/>
      <c r="C2" s="121"/>
      <c r="D2" s="121"/>
      <c r="E2" s="121"/>
      <c r="F2" s="2"/>
      <c r="G2" s="2"/>
      <c r="H2" s="2"/>
      <c r="I2" s="2"/>
      <c r="J2" s="2"/>
      <c r="K2" s="2"/>
      <c r="L2" s="122"/>
      <c r="M2" s="3"/>
    </row>
    <row r="3" spans="1:26" ht="30" customHeight="1" x14ac:dyDescent="0.45">
      <c r="B3" s="14"/>
      <c r="C3" s="266" t="s">
        <v>102</v>
      </c>
      <c r="D3" s="200"/>
      <c r="E3" s="200"/>
      <c r="F3" s="200"/>
      <c r="G3" s="200"/>
      <c r="H3" s="200"/>
      <c r="I3" s="200"/>
      <c r="J3" s="200"/>
      <c r="K3" s="200"/>
      <c r="L3" s="201"/>
      <c r="M3" s="5"/>
    </row>
    <row r="4" spans="1:26" ht="11.25" customHeight="1" x14ac:dyDescent="0.25">
      <c r="B4" s="14"/>
      <c r="C4" s="123"/>
      <c r="D4" s="123"/>
      <c r="E4" s="123"/>
      <c r="F4" s="15"/>
      <c r="G4" s="15"/>
      <c r="H4" s="15"/>
      <c r="I4" s="15"/>
      <c r="J4" s="15"/>
      <c r="K4" s="15"/>
      <c r="L4" s="19"/>
      <c r="M4" s="5"/>
    </row>
    <row r="5" spans="1:26" ht="30" customHeight="1" x14ac:dyDescent="0.25">
      <c r="B5" s="14"/>
      <c r="C5" s="124" t="s">
        <v>0</v>
      </c>
      <c r="D5" s="125"/>
      <c r="E5" s="125"/>
      <c r="F5" s="125"/>
      <c r="G5" s="125"/>
      <c r="H5" s="125"/>
      <c r="I5" s="125"/>
      <c r="J5" s="125"/>
      <c r="K5" s="125"/>
      <c r="L5" s="126" t="str">
        <f>'Payment Summaries'!K5</f>
        <v>Bollette</v>
      </c>
      <c r="M5" s="5"/>
    </row>
    <row r="6" spans="1:26" ht="11.25" customHeight="1" x14ac:dyDescent="0.25">
      <c r="B6" s="14"/>
      <c r="C6" s="127"/>
      <c r="D6" s="123"/>
      <c r="E6" s="123"/>
      <c r="F6" s="123"/>
      <c r="G6" s="123"/>
      <c r="H6" s="123"/>
      <c r="I6" s="123"/>
      <c r="J6" s="123"/>
      <c r="K6" s="123"/>
      <c r="L6" s="128"/>
      <c r="M6" s="5"/>
    </row>
    <row r="7" spans="1:26" ht="22.5" customHeight="1" x14ac:dyDescent="0.25">
      <c r="A7" s="129"/>
      <c r="B7" s="130"/>
      <c r="C7" s="131"/>
      <c r="D7" s="131"/>
      <c r="E7" s="131"/>
      <c r="F7" s="132" t="s">
        <v>103</v>
      </c>
      <c r="G7" s="133" t="s">
        <v>104</v>
      </c>
      <c r="H7" s="133" t="s">
        <v>105</v>
      </c>
      <c r="I7" s="133" t="s">
        <v>106</v>
      </c>
      <c r="J7" s="133" t="s">
        <v>107</v>
      </c>
      <c r="K7" s="133" t="s">
        <v>108</v>
      </c>
      <c r="L7" s="134" t="s">
        <v>109</v>
      </c>
      <c r="M7" s="135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ht="11.25" customHeight="1" x14ac:dyDescent="0.25">
      <c r="B8" s="14"/>
      <c r="C8" s="123"/>
      <c r="D8" s="123"/>
      <c r="E8" s="123"/>
      <c r="F8" s="75"/>
      <c r="G8" s="76"/>
      <c r="H8" s="76"/>
      <c r="I8" s="76"/>
      <c r="J8" s="76"/>
      <c r="K8" s="76"/>
      <c r="L8" s="136"/>
      <c r="M8" s="5"/>
    </row>
    <row r="9" spans="1:26" x14ac:dyDescent="0.25">
      <c r="B9" s="14"/>
      <c r="C9" s="137" t="s">
        <v>110</v>
      </c>
      <c r="D9" s="138">
        <f>'Payment Summaries'!H11</f>
        <v>6.25E-2</v>
      </c>
      <c r="E9" s="139"/>
      <c r="F9" s="54">
        <v>1</v>
      </c>
      <c r="G9" s="140">
        <f>IF(D11=0,0,-PMT(D9/12,D12,D11))</f>
        <v>3694.3032025583493</v>
      </c>
      <c r="H9" s="140">
        <f t="shared" ref="H9:H44" si="0">G9-I9</f>
        <v>569.30320255834931</v>
      </c>
      <c r="I9" s="140">
        <f>D11*D9/12</f>
        <v>3125</v>
      </c>
      <c r="J9" s="140" t="str">
        <f>IF(D11&gt;=(D10*D14),D13,0)</f>
        <v/>
      </c>
      <c r="K9" s="140">
        <f>IF(D11-H9-L9&gt;0,D11-H9-L9,0)</f>
        <v>599430.69679744169</v>
      </c>
      <c r="L9" s="141">
        <v>0</v>
      </c>
      <c r="M9" s="5"/>
    </row>
    <row r="10" spans="1:26" x14ac:dyDescent="0.25">
      <c r="B10" s="14"/>
      <c r="C10" s="142" t="s">
        <v>3</v>
      </c>
      <c r="D10" s="143">
        <f>'Payment Summaries'!E9</f>
        <v>750000</v>
      </c>
      <c r="E10" s="144"/>
      <c r="F10" s="54">
        <v>2</v>
      </c>
      <c r="G10" s="140">
        <f t="shared" ref="G10:G44" si="1">IF(K9=0,0,G9)</f>
        <v>3694.3032025583493</v>
      </c>
      <c r="H10" s="140">
        <f t="shared" si="0"/>
        <v>572.26832340500732</v>
      </c>
      <c r="I10" s="140">
        <f>K9*D9/12</f>
        <v>3122.034879153342</v>
      </c>
      <c r="J10" s="140">
        <f>IF(K9&gt;=(D10*D14),D13,0)</f>
        <v>0</v>
      </c>
      <c r="K10" s="140">
        <f t="shared" ref="K10:K44" si="2">IF(K9-H10-L10&gt;0,K9-H10-L10,)</f>
        <v>598858.42847403663</v>
      </c>
      <c r="L10" s="141">
        <v>0</v>
      </c>
      <c r="M10" s="5"/>
    </row>
    <row r="11" spans="1:26" x14ac:dyDescent="0.25">
      <c r="B11" s="14"/>
      <c r="C11" s="142" t="s">
        <v>111</v>
      </c>
      <c r="D11" s="143">
        <f>'Payment Summaries'!H9</f>
        <v>600000</v>
      </c>
      <c r="E11" s="144"/>
      <c r="F11" s="54">
        <v>3</v>
      </c>
      <c r="G11" s="140">
        <f t="shared" si="1"/>
        <v>3694.3032025583493</v>
      </c>
      <c r="H11" s="140">
        <f t="shared" si="0"/>
        <v>575.2488875894087</v>
      </c>
      <c r="I11" s="140">
        <f>K10*D9/12</f>
        <v>3119.0543149689406</v>
      </c>
      <c r="J11" s="140">
        <f>IF(K10&gt;=(D10*D14),D13,0)</f>
        <v>0</v>
      </c>
      <c r="K11" s="140">
        <f t="shared" si="2"/>
        <v>598283.17958644719</v>
      </c>
      <c r="L11" s="141">
        <v>0</v>
      </c>
      <c r="M11" s="5"/>
    </row>
    <row r="12" spans="1:26" x14ac:dyDescent="0.25">
      <c r="B12" s="14"/>
      <c r="C12" s="142" t="s">
        <v>112</v>
      </c>
      <c r="D12" s="145">
        <v>360</v>
      </c>
      <c r="E12" s="123"/>
      <c r="F12" s="54">
        <v>4</v>
      </c>
      <c r="G12" s="140">
        <f t="shared" si="1"/>
        <v>3694.3032025583493</v>
      </c>
      <c r="H12" s="140">
        <f t="shared" si="0"/>
        <v>578.24497554560367</v>
      </c>
      <c r="I12" s="140">
        <f>K11*D9/12</f>
        <v>3116.0582270127456</v>
      </c>
      <c r="J12" s="140">
        <f>IF(K11&gt;=(D10*D14),D13,0)</f>
        <v>0</v>
      </c>
      <c r="K12" s="140">
        <f t="shared" si="2"/>
        <v>597704.93461090163</v>
      </c>
      <c r="L12" s="141">
        <v>0</v>
      </c>
      <c r="M12" s="5"/>
    </row>
    <row r="13" spans="1:26" x14ac:dyDescent="0.25">
      <c r="B13" s="14"/>
      <c r="C13" s="142" t="s">
        <v>32</v>
      </c>
      <c r="D13" s="146" t="str">
        <f>'Payment Summaries'!H19</f>
        <v/>
      </c>
      <c r="E13" s="147"/>
      <c r="F13" s="54">
        <v>5</v>
      </c>
      <c r="G13" s="140">
        <f t="shared" si="1"/>
        <v>3694.3032025583493</v>
      </c>
      <c r="H13" s="140">
        <f t="shared" si="0"/>
        <v>581.25666812656982</v>
      </c>
      <c r="I13" s="140">
        <f>K12*D9/12</f>
        <v>3113.0465344317795</v>
      </c>
      <c r="J13" s="140">
        <f>IF(K12&gt;=(D10*D14),D13,0)</f>
        <v>0</v>
      </c>
      <c r="K13" s="140">
        <f t="shared" si="2"/>
        <v>597123.67794277507</v>
      </c>
      <c r="L13" s="141">
        <v>0</v>
      </c>
      <c r="M13" s="5"/>
    </row>
    <row r="14" spans="1:26" x14ac:dyDescent="0.25">
      <c r="B14" s="14"/>
      <c r="C14" s="148" t="s">
        <v>113</v>
      </c>
      <c r="D14" s="149">
        <v>0.8</v>
      </c>
      <c r="E14" s="150"/>
      <c r="F14" s="54">
        <v>6</v>
      </c>
      <c r="G14" s="140">
        <f t="shared" si="1"/>
        <v>3694.3032025583493</v>
      </c>
      <c r="H14" s="140">
        <f t="shared" si="0"/>
        <v>584.2840466063958</v>
      </c>
      <c r="I14" s="140">
        <f>K13*D9/12</f>
        <v>3110.0191559519535</v>
      </c>
      <c r="J14" s="140">
        <f>IF(K13&gt;=(D10*D14),D13,0)</f>
        <v>0</v>
      </c>
      <c r="K14" s="140">
        <f t="shared" si="2"/>
        <v>596539.39389616868</v>
      </c>
      <c r="L14" s="141">
        <v>0</v>
      </c>
      <c r="M14" s="5"/>
    </row>
    <row r="15" spans="1:26" x14ac:dyDescent="0.25">
      <c r="B15" s="14"/>
      <c r="C15" s="123"/>
      <c r="D15" s="123"/>
      <c r="E15" s="123"/>
      <c r="F15" s="54">
        <v>7</v>
      </c>
      <c r="G15" s="140">
        <f t="shared" si="1"/>
        <v>3694.3032025583493</v>
      </c>
      <c r="H15" s="140">
        <f t="shared" si="0"/>
        <v>587.32719268247092</v>
      </c>
      <c r="I15" s="140">
        <f>K14*D9/12</f>
        <v>3106.9760098758784</v>
      </c>
      <c r="J15" s="140">
        <f>IF(K14&gt;=(D10*D14),D13,0)</f>
        <v>0</v>
      </c>
      <c r="K15" s="140">
        <f t="shared" si="2"/>
        <v>595952.06670348626</v>
      </c>
      <c r="L15" s="141">
        <v>0</v>
      </c>
      <c r="M15" s="5"/>
    </row>
    <row r="16" spans="1:26" x14ac:dyDescent="0.25">
      <c r="B16" s="14"/>
      <c r="C16" s="147"/>
      <c r="D16" s="123"/>
      <c r="E16" s="123"/>
      <c r="F16" s="54">
        <v>8</v>
      </c>
      <c r="G16" s="140">
        <f t="shared" si="1"/>
        <v>3694.3032025583493</v>
      </c>
      <c r="H16" s="140">
        <f t="shared" si="0"/>
        <v>590.38618847769158</v>
      </c>
      <c r="I16" s="140">
        <f>K15*D9/12</f>
        <v>3103.9170140806577</v>
      </c>
      <c r="J16" s="140">
        <f>IF(K15&gt;=(D10*D14),D13,0)</f>
        <v>0</v>
      </c>
      <c r="K16" s="140">
        <f t="shared" si="2"/>
        <v>595361.68051500851</v>
      </c>
      <c r="L16" s="141">
        <v>0</v>
      </c>
      <c r="M16" s="5"/>
    </row>
    <row r="17" spans="2:13" x14ac:dyDescent="0.25">
      <c r="B17" s="14"/>
      <c r="C17" s="123"/>
      <c r="D17" s="123"/>
      <c r="E17" s="123"/>
      <c r="F17" s="54">
        <v>9</v>
      </c>
      <c r="G17" s="140">
        <f t="shared" si="1"/>
        <v>3694.3032025583493</v>
      </c>
      <c r="H17" s="140">
        <f t="shared" si="0"/>
        <v>593.46111654267997</v>
      </c>
      <c r="I17" s="140">
        <f>K16*D9/12</f>
        <v>3100.8420860156693</v>
      </c>
      <c r="J17" s="140">
        <f>IF(K16&gt;=(D10*D14),D13,0)</f>
        <v>0</v>
      </c>
      <c r="K17" s="140">
        <f t="shared" si="2"/>
        <v>594768.21939846582</v>
      </c>
      <c r="L17" s="141">
        <v>0</v>
      </c>
      <c r="M17" s="5"/>
    </row>
    <row r="18" spans="2:13" x14ac:dyDescent="0.25">
      <c r="B18" s="14"/>
      <c r="C18" s="123"/>
      <c r="D18" s="123"/>
      <c r="E18" s="123"/>
      <c r="F18" s="54">
        <v>10</v>
      </c>
      <c r="G18" s="140">
        <f t="shared" si="1"/>
        <v>3694.3032025583493</v>
      </c>
      <c r="H18" s="140">
        <f t="shared" si="0"/>
        <v>596.55205985800649</v>
      </c>
      <c r="I18" s="140">
        <f>K17*D9/12</f>
        <v>3097.7511427003428</v>
      </c>
      <c r="J18" s="140">
        <f>IF(K17&gt;=(D10*D14),D13,0)</f>
        <v>0</v>
      </c>
      <c r="K18" s="140">
        <f t="shared" si="2"/>
        <v>594171.66733860783</v>
      </c>
      <c r="L18" s="141">
        <v>0</v>
      </c>
      <c r="M18" s="5"/>
    </row>
    <row r="19" spans="2:13" x14ac:dyDescent="0.25">
      <c r="B19" s="14"/>
      <c r="C19" s="123"/>
      <c r="D19" s="123"/>
      <c r="E19" s="123"/>
      <c r="F19" s="54">
        <v>11</v>
      </c>
      <c r="G19" s="140">
        <f t="shared" si="1"/>
        <v>3694.3032025583493</v>
      </c>
      <c r="H19" s="140">
        <f t="shared" si="0"/>
        <v>599.65910183643336</v>
      </c>
      <c r="I19" s="140">
        <f>K18*D9/12</f>
        <v>3094.6441007219159</v>
      </c>
      <c r="J19" s="140">
        <f>IF(K18&gt;=(D10*D14),D13,0)</f>
        <v>0</v>
      </c>
      <c r="K19" s="140">
        <f t="shared" si="2"/>
        <v>593572.00823677145</v>
      </c>
      <c r="L19" s="141">
        <v>0</v>
      </c>
      <c r="M19" s="5"/>
    </row>
    <row r="20" spans="2:13" x14ac:dyDescent="0.25">
      <c r="B20" s="14"/>
      <c r="C20" s="123"/>
      <c r="D20" s="123"/>
      <c r="E20" s="123"/>
      <c r="F20" s="151">
        <v>12</v>
      </c>
      <c r="G20" s="140">
        <f t="shared" si="1"/>
        <v>3694.3032025583493</v>
      </c>
      <c r="H20" s="140">
        <f t="shared" si="0"/>
        <v>602.78232632516483</v>
      </c>
      <c r="I20" s="140">
        <f>K19*D9/12</f>
        <v>3091.5208762331845</v>
      </c>
      <c r="J20" s="140">
        <f>IF(K19&gt;=(D10*D14),D13,0)</f>
        <v>0</v>
      </c>
      <c r="K20" s="140">
        <f t="shared" si="2"/>
        <v>592969.22591044626</v>
      </c>
      <c r="L20" s="141">
        <v>0</v>
      </c>
      <c r="M20" s="5"/>
    </row>
    <row r="21" spans="2:13" ht="15.75" customHeight="1" x14ac:dyDescent="0.25">
      <c r="B21" s="14"/>
      <c r="C21" s="123"/>
      <c r="D21" s="123"/>
      <c r="E21" s="123"/>
      <c r="F21" s="54">
        <v>13</v>
      </c>
      <c r="G21" s="140">
        <f t="shared" si="1"/>
        <v>3694.3032025583493</v>
      </c>
      <c r="H21" s="140">
        <f t="shared" si="0"/>
        <v>605.92181760810854</v>
      </c>
      <c r="I21" s="140">
        <f>K20*D9/12</f>
        <v>3088.3813849502408</v>
      </c>
      <c r="J21" s="140">
        <f>IF(K20&gt;=(D10*D14),D13,0)</f>
        <v>0</v>
      </c>
      <c r="K21" s="140">
        <f t="shared" si="2"/>
        <v>592363.3040928382</v>
      </c>
      <c r="L21" s="141">
        <v>0</v>
      </c>
      <c r="M21" s="5"/>
    </row>
    <row r="22" spans="2:13" ht="15.75" customHeight="1" x14ac:dyDescent="0.25">
      <c r="B22" s="14"/>
      <c r="C22" s="123"/>
      <c r="D22" s="123"/>
      <c r="E22" s="123"/>
      <c r="F22" s="54">
        <v>14</v>
      </c>
      <c r="G22" s="140">
        <f t="shared" si="1"/>
        <v>3694.3032025583493</v>
      </c>
      <c r="H22" s="140">
        <f t="shared" si="0"/>
        <v>609.07766040815022</v>
      </c>
      <c r="I22" s="140">
        <f>K21*D9/12</f>
        <v>3085.2255421501991</v>
      </c>
      <c r="J22" s="140">
        <f>IF(K21&gt;=(D10*D14),D13,0)</f>
        <v>0</v>
      </c>
      <c r="K22" s="140">
        <f t="shared" si="2"/>
        <v>591754.22643243009</v>
      </c>
      <c r="L22" s="141">
        <v>0</v>
      </c>
      <c r="M22" s="5"/>
    </row>
    <row r="23" spans="2:13" ht="15.75" customHeight="1" x14ac:dyDescent="0.25">
      <c r="B23" s="14"/>
      <c r="C23" s="123"/>
      <c r="D23" s="123"/>
      <c r="E23" s="123"/>
      <c r="F23" s="54">
        <v>15</v>
      </c>
      <c r="G23" s="140">
        <f t="shared" si="1"/>
        <v>3694.3032025583493</v>
      </c>
      <c r="H23" s="140">
        <f t="shared" si="0"/>
        <v>612.24993988944243</v>
      </c>
      <c r="I23" s="140">
        <f>K22*D9/12</f>
        <v>3082.0532626689069</v>
      </c>
      <c r="J23" s="140">
        <f>IF(K22&gt;=(D10*D14),D13,0)</f>
        <v>0</v>
      </c>
      <c r="K23" s="140">
        <f t="shared" si="2"/>
        <v>591141.97649254068</v>
      </c>
      <c r="L23" s="141">
        <v>0</v>
      </c>
      <c r="M23" s="5"/>
    </row>
    <row r="24" spans="2:13" ht="15.75" customHeight="1" x14ac:dyDescent="0.25">
      <c r="B24" s="14"/>
      <c r="C24" s="123"/>
      <c r="D24" s="123"/>
      <c r="E24" s="123"/>
      <c r="F24" s="54">
        <v>16</v>
      </c>
      <c r="G24" s="140">
        <f t="shared" si="1"/>
        <v>3694.3032025583493</v>
      </c>
      <c r="H24" s="140">
        <f t="shared" si="0"/>
        <v>615.4387416597001</v>
      </c>
      <c r="I24" s="140">
        <f>K23*D9/12</f>
        <v>3078.8644608986492</v>
      </c>
      <c r="J24" s="140">
        <f>IF(K23&gt;=(D10*D14),D13,0)</f>
        <v>0</v>
      </c>
      <c r="K24" s="140">
        <f t="shared" si="2"/>
        <v>590526.53775088093</v>
      </c>
      <c r="L24" s="141">
        <v>0</v>
      </c>
      <c r="M24" s="5"/>
    </row>
    <row r="25" spans="2:13" ht="15.75" customHeight="1" x14ac:dyDescent="0.25">
      <c r="B25" s="14"/>
      <c r="C25" s="123"/>
      <c r="D25" s="123"/>
      <c r="E25" s="123"/>
      <c r="F25" s="54">
        <v>17</v>
      </c>
      <c r="G25" s="140">
        <f t="shared" si="1"/>
        <v>3694.3032025583493</v>
      </c>
      <c r="H25" s="140">
        <f t="shared" si="0"/>
        <v>618.64415177251112</v>
      </c>
      <c r="I25" s="140">
        <f>K24*D9/12</f>
        <v>3075.6590507858382</v>
      </c>
      <c r="J25" s="140">
        <f>IF(K24&gt;=(D10*D14),D13,0)</f>
        <v>0</v>
      </c>
      <c r="K25" s="140">
        <f t="shared" si="2"/>
        <v>589907.89359910844</v>
      </c>
      <c r="L25" s="141">
        <v>0</v>
      </c>
      <c r="M25" s="5"/>
    </row>
    <row r="26" spans="2:13" ht="15.75" customHeight="1" x14ac:dyDescent="0.25">
      <c r="B26" s="14"/>
      <c r="C26" s="123"/>
      <c r="D26" s="123"/>
      <c r="E26" s="123"/>
      <c r="F26" s="54">
        <v>18</v>
      </c>
      <c r="G26" s="140">
        <f t="shared" si="1"/>
        <v>3694.3032025583493</v>
      </c>
      <c r="H26" s="140">
        <f t="shared" si="0"/>
        <v>621.86625672965965</v>
      </c>
      <c r="I26" s="140">
        <f>K25*D9/12</f>
        <v>3072.4369458286897</v>
      </c>
      <c r="J26" s="140">
        <f>IF(K25&gt;=(D10*D14),D13,0)</f>
        <v>0</v>
      </c>
      <c r="K26" s="140">
        <f t="shared" si="2"/>
        <v>589286.02734237874</v>
      </c>
      <c r="L26" s="141">
        <v>0</v>
      </c>
      <c r="M26" s="5"/>
    </row>
    <row r="27" spans="2:13" ht="15.75" customHeight="1" x14ac:dyDescent="0.25">
      <c r="B27" s="14"/>
      <c r="C27" s="123"/>
      <c r="D27" s="123"/>
      <c r="E27" s="123"/>
      <c r="F27" s="54">
        <v>19</v>
      </c>
      <c r="G27" s="140">
        <f t="shared" si="1"/>
        <v>3694.3032025583493</v>
      </c>
      <c r="H27" s="140">
        <f t="shared" si="0"/>
        <v>625.10514348345987</v>
      </c>
      <c r="I27" s="140">
        <f>K26*D9/12</f>
        <v>3069.1980590748894</v>
      </c>
      <c r="J27" s="140">
        <f>IF(K26&gt;=(D10*D14),D13,0)</f>
        <v>0</v>
      </c>
      <c r="K27" s="140">
        <f t="shared" si="2"/>
        <v>588660.92219889525</v>
      </c>
      <c r="L27" s="141">
        <v>0</v>
      </c>
      <c r="M27" s="5"/>
    </row>
    <row r="28" spans="2:13" ht="15.75" customHeight="1" x14ac:dyDescent="0.25">
      <c r="B28" s="14"/>
      <c r="C28" s="123"/>
      <c r="D28" s="123"/>
      <c r="E28" s="123"/>
      <c r="F28" s="54">
        <v>20</v>
      </c>
      <c r="G28" s="140">
        <f t="shared" si="1"/>
        <v>3694.3032025583493</v>
      </c>
      <c r="H28" s="140">
        <f t="shared" si="0"/>
        <v>628.36089943910338</v>
      </c>
      <c r="I28" s="140">
        <f>K27*D9/12</f>
        <v>3065.9423031192459</v>
      </c>
      <c r="J28" s="140">
        <f>IF(K27&gt;=(D10*D14),D13,0)</f>
        <v>0</v>
      </c>
      <c r="K28" s="140">
        <f t="shared" si="2"/>
        <v>588032.56129945617</v>
      </c>
      <c r="L28" s="141">
        <v>0</v>
      </c>
      <c r="M28" s="5"/>
    </row>
    <row r="29" spans="2:13" ht="15.75" customHeight="1" x14ac:dyDescent="0.25">
      <c r="B29" s="14"/>
      <c r="C29" s="123"/>
      <c r="D29" s="123"/>
      <c r="E29" s="123"/>
      <c r="F29" s="54">
        <v>21</v>
      </c>
      <c r="G29" s="140">
        <f t="shared" si="1"/>
        <v>3694.3032025583493</v>
      </c>
      <c r="H29" s="140">
        <f t="shared" si="0"/>
        <v>631.63361245701526</v>
      </c>
      <c r="I29" s="140">
        <f>K28*D9/12</f>
        <v>3062.6695901013341</v>
      </c>
      <c r="J29" s="140">
        <f>IF(K28&gt;=(D10*D14),D13,0)</f>
        <v>0</v>
      </c>
      <c r="K29" s="140">
        <f t="shared" si="2"/>
        <v>587400.9276869992</v>
      </c>
      <c r="L29" s="141">
        <v>0</v>
      </c>
      <c r="M29" s="5"/>
    </row>
    <row r="30" spans="2:13" ht="15.75" customHeight="1" x14ac:dyDescent="0.25">
      <c r="B30" s="14"/>
      <c r="C30" s="123"/>
      <c r="D30" s="123"/>
      <c r="E30" s="123"/>
      <c r="F30" s="54">
        <v>22</v>
      </c>
      <c r="G30" s="140">
        <f t="shared" si="1"/>
        <v>3694.3032025583493</v>
      </c>
      <c r="H30" s="140">
        <f t="shared" si="0"/>
        <v>634.92337085522831</v>
      </c>
      <c r="I30" s="140">
        <f>K29*D9/12</f>
        <v>3059.379831703121</v>
      </c>
      <c r="J30" s="140">
        <f>IF(K29&gt;=(D10*D14),D13,0)</f>
        <v>0</v>
      </c>
      <c r="K30" s="140">
        <f t="shared" si="2"/>
        <v>586766.00431614392</v>
      </c>
      <c r="L30" s="141">
        <v>0</v>
      </c>
      <c r="M30" s="5"/>
    </row>
    <row r="31" spans="2:13" ht="15.75" customHeight="1" x14ac:dyDescent="0.25">
      <c r="B31" s="14"/>
      <c r="C31" s="123"/>
      <c r="D31" s="123"/>
      <c r="E31" s="123"/>
      <c r="F31" s="54">
        <v>23</v>
      </c>
      <c r="G31" s="140">
        <f t="shared" si="1"/>
        <v>3694.3032025583493</v>
      </c>
      <c r="H31" s="140">
        <f t="shared" si="0"/>
        <v>638.23026341176637</v>
      </c>
      <c r="I31" s="140">
        <f>K30*D9/12</f>
        <v>3056.0729391465829</v>
      </c>
      <c r="J31" s="140">
        <f>IF(K30&gt;=(D10*D14),D13,0)</f>
        <v>0</v>
      </c>
      <c r="K31" s="140">
        <f t="shared" si="2"/>
        <v>586127.77405273216</v>
      </c>
      <c r="L31" s="141">
        <v>0</v>
      </c>
      <c r="M31" s="5"/>
    </row>
    <row r="32" spans="2:13" ht="15.75" customHeight="1" x14ac:dyDescent="0.25">
      <c r="B32" s="14"/>
      <c r="C32" s="123"/>
      <c r="D32" s="123"/>
      <c r="E32" s="123"/>
      <c r="F32" s="151">
        <v>24</v>
      </c>
      <c r="G32" s="140">
        <f t="shared" si="1"/>
        <v>3694.3032025583493</v>
      </c>
      <c r="H32" s="140">
        <f t="shared" si="0"/>
        <v>641.55437936703584</v>
      </c>
      <c r="I32" s="140">
        <f>K31*D9/12</f>
        <v>3052.7488231913135</v>
      </c>
      <c r="J32" s="140">
        <f>IF(K31&gt;=(D10*D14),D13,0)</f>
        <v>0</v>
      </c>
      <c r="K32" s="140">
        <f t="shared" si="2"/>
        <v>585486.21967336512</v>
      </c>
      <c r="L32" s="141">
        <v>0</v>
      </c>
      <c r="M32" s="5"/>
    </row>
    <row r="33" spans="1:26" ht="15.75" customHeight="1" x14ac:dyDescent="0.25">
      <c r="B33" s="14"/>
      <c r="C33" s="123"/>
      <c r="D33" s="123"/>
      <c r="E33" s="123"/>
      <c r="F33" s="54">
        <v>25</v>
      </c>
      <c r="G33" s="140">
        <f t="shared" si="1"/>
        <v>3694.3032025583493</v>
      </c>
      <c r="H33" s="140">
        <f t="shared" si="0"/>
        <v>644.89580842623946</v>
      </c>
      <c r="I33" s="140">
        <f>K32*D9/12</f>
        <v>3049.4073941321099</v>
      </c>
      <c r="J33" s="140">
        <f>IF(K32&gt;=(D10*D14),D13,0)</f>
        <v>0</v>
      </c>
      <c r="K33" s="140">
        <f t="shared" si="2"/>
        <v>584841.32386493892</v>
      </c>
      <c r="L33" s="141">
        <v>0</v>
      </c>
      <c r="M33" s="5"/>
    </row>
    <row r="34" spans="1:26" ht="15.75" customHeight="1" x14ac:dyDescent="0.25">
      <c r="B34" s="14"/>
      <c r="C34" s="123"/>
      <c r="D34" s="123"/>
      <c r="E34" s="123"/>
      <c r="F34" s="54">
        <v>26</v>
      </c>
      <c r="G34" s="140">
        <f t="shared" si="1"/>
        <v>3694.3032025583493</v>
      </c>
      <c r="H34" s="140">
        <f t="shared" si="0"/>
        <v>648.25464076179242</v>
      </c>
      <c r="I34" s="140">
        <f>K33*D9/12</f>
        <v>3046.0485617965569</v>
      </c>
      <c r="J34" s="140">
        <f>IF(K33&gt;=(D10*D14),D13,0)</f>
        <v>0</v>
      </c>
      <c r="K34" s="140">
        <f t="shared" si="2"/>
        <v>584193.06922417716</v>
      </c>
      <c r="L34" s="141">
        <v>0</v>
      </c>
      <c r="M34" s="5"/>
    </row>
    <row r="35" spans="1:26" ht="15.75" customHeight="1" x14ac:dyDescent="0.25">
      <c r="B35" s="14"/>
      <c r="C35" s="123"/>
      <c r="D35" s="123"/>
      <c r="E35" s="123"/>
      <c r="F35" s="54">
        <v>27</v>
      </c>
      <c r="G35" s="140">
        <f t="shared" si="1"/>
        <v>3694.3032025583493</v>
      </c>
      <c r="H35" s="140">
        <f t="shared" si="0"/>
        <v>651.63096701575978</v>
      </c>
      <c r="I35" s="140">
        <f>K34*D9/12</f>
        <v>3042.6722355425895</v>
      </c>
      <c r="J35" s="140">
        <f>IF(K34&gt;=(D10*D14),D13,0)</f>
        <v>0</v>
      </c>
      <c r="K35" s="140">
        <f t="shared" si="2"/>
        <v>583541.43825716141</v>
      </c>
      <c r="L35" s="141">
        <v>0</v>
      </c>
      <c r="M35" s="5"/>
    </row>
    <row r="36" spans="1:26" ht="15.75" customHeight="1" x14ac:dyDescent="0.25">
      <c r="B36" s="14"/>
      <c r="C36" s="123"/>
      <c r="D36" s="123"/>
      <c r="E36" s="123"/>
      <c r="F36" s="54">
        <v>28</v>
      </c>
      <c r="G36" s="140">
        <f t="shared" si="1"/>
        <v>3694.3032025583493</v>
      </c>
      <c r="H36" s="140">
        <f t="shared" si="0"/>
        <v>655.02487830230029</v>
      </c>
      <c r="I36" s="140">
        <f>K35*D9/12</f>
        <v>3039.278324256049</v>
      </c>
      <c r="J36" s="140">
        <f>IF(K35&gt;=(D10*D14),D13,0)</f>
        <v>0</v>
      </c>
      <c r="K36" s="140">
        <f t="shared" si="2"/>
        <v>582886.41337885906</v>
      </c>
      <c r="L36" s="141">
        <v>0</v>
      </c>
      <c r="M36" s="5"/>
    </row>
    <row r="37" spans="1:26" ht="15.75" customHeight="1" x14ac:dyDescent="0.25">
      <c r="B37" s="14"/>
      <c r="C37" s="123"/>
      <c r="D37" s="123"/>
      <c r="E37" s="123"/>
      <c r="F37" s="54">
        <v>29</v>
      </c>
      <c r="G37" s="140">
        <f t="shared" si="1"/>
        <v>3694.3032025583493</v>
      </c>
      <c r="H37" s="140">
        <f t="shared" si="0"/>
        <v>658.43646621012522</v>
      </c>
      <c r="I37" s="140">
        <f>K36*D9/12</f>
        <v>3035.8667363482241</v>
      </c>
      <c r="J37" s="140">
        <f>IF(K36&gt;=(D10*D14),D13,0)</f>
        <v>0</v>
      </c>
      <c r="K37" s="140">
        <f t="shared" si="2"/>
        <v>582227.97691264888</v>
      </c>
      <c r="L37" s="141">
        <v>0</v>
      </c>
      <c r="M37" s="5"/>
    </row>
    <row r="38" spans="1:26" ht="15.75" customHeight="1" x14ac:dyDescent="0.25">
      <c r="B38" s="14"/>
      <c r="C38" s="123"/>
      <c r="D38" s="123"/>
      <c r="E38" s="123"/>
      <c r="F38" s="54">
        <v>30</v>
      </c>
      <c r="G38" s="140">
        <f t="shared" si="1"/>
        <v>3694.3032025583493</v>
      </c>
      <c r="H38" s="140">
        <f t="shared" si="0"/>
        <v>661.86582280496987</v>
      </c>
      <c r="I38" s="140">
        <f>K37*D9/12</f>
        <v>3032.4373797533794</v>
      </c>
      <c r="J38" s="140">
        <f>IF(K37&gt;=(D10*D14),D13,0)</f>
        <v>0</v>
      </c>
      <c r="K38" s="140">
        <f t="shared" si="2"/>
        <v>581566.11108984391</v>
      </c>
      <c r="L38" s="141">
        <v>0</v>
      </c>
      <c r="M38" s="5"/>
    </row>
    <row r="39" spans="1:26" ht="15.75" customHeight="1" x14ac:dyDescent="0.25">
      <c r="B39" s="14"/>
      <c r="C39" s="123"/>
      <c r="D39" s="123"/>
      <c r="E39" s="123"/>
      <c r="F39" s="54">
        <v>31</v>
      </c>
      <c r="G39" s="140">
        <f t="shared" si="1"/>
        <v>3694.3032025583493</v>
      </c>
      <c r="H39" s="140">
        <f t="shared" si="0"/>
        <v>665.31304063207881</v>
      </c>
      <c r="I39" s="140">
        <f>K38*D9/12</f>
        <v>3028.9901619262705</v>
      </c>
      <c r="J39" s="140">
        <f>IF(K38&gt;=(D10*D14),D13,0)</f>
        <v>0</v>
      </c>
      <c r="K39" s="140">
        <f t="shared" si="2"/>
        <v>580900.79804921185</v>
      </c>
      <c r="L39" s="141">
        <v>0</v>
      </c>
      <c r="M39" s="5"/>
    </row>
    <row r="40" spans="1:26" ht="15.75" customHeight="1" x14ac:dyDescent="0.25">
      <c r="B40" s="14"/>
      <c r="C40" s="123"/>
      <c r="D40" s="123"/>
      <c r="E40" s="123"/>
      <c r="F40" s="54">
        <v>32</v>
      </c>
      <c r="G40" s="140">
        <f t="shared" si="1"/>
        <v>3694.3032025583493</v>
      </c>
      <c r="H40" s="140">
        <f t="shared" si="0"/>
        <v>668.77821271870425</v>
      </c>
      <c r="I40" s="140">
        <f>K39*D9/12</f>
        <v>3025.5249898396451</v>
      </c>
      <c r="J40" s="140">
        <f>IF(K39&gt;=(D10*D14),D13,0)</f>
        <v>0</v>
      </c>
      <c r="K40" s="140">
        <f t="shared" si="2"/>
        <v>580232.01983649319</v>
      </c>
      <c r="L40" s="141">
        <v>0</v>
      </c>
      <c r="M40" s="5"/>
    </row>
    <row r="41" spans="1:26" ht="15.75" customHeight="1" x14ac:dyDescent="0.25">
      <c r="B41" s="14"/>
      <c r="C41" s="123"/>
      <c r="D41" s="123"/>
      <c r="E41" s="123"/>
      <c r="F41" s="54">
        <v>33</v>
      </c>
      <c r="G41" s="140">
        <f t="shared" si="1"/>
        <v>3694.3032025583493</v>
      </c>
      <c r="H41" s="140">
        <f t="shared" si="0"/>
        <v>672.26143257661397</v>
      </c>
      <c r="I41" s="140">
        <f>K40*D9/12</f>
        <v>3022.0417699817353</v>
      </c>
      <c r="J41" s="140">
        <f>IF(K40&gt;=(D10*D14),D13,0)</f>
        <v>0</v>
      </c>
      <c r="K41" s="140">
        <f t="shared" si="2"/>
        <v>579559.75840391661</v>
      </c>
      <c r="L41" s="141">
        <v>0</v>
      </c>
      <c r="M41" s="5"/>
    </row>
    <row r="42" spans="1:26" ht="15.75" customHeight="1" x14ac:dyDescent="0.25">
      <c r="B42" s="14"/>
      <c r="C42" s="123"/>
      <c r="D42" s="123"/>
      <c r="E42" s="123"/>
      <c r="F42" s="54">
        <v>34</v>
      </c>
      <c r="G42" s="140">
        <f t="shared" si="1"/>
        <v>3694.3032025583493</v>
      </c>
      <c r="H42" s="140">
        <f t="shared" si="0"/>
        <v>675.76279420461697</v>
      </c>
      <c r="I42" s="140">
        <f>K41*D9/12</f>
        <v>3018.5404083537323</v>
      </c>
      <c r="J42" s="140">
        <f>IF(K41&gt;=(D10*D14),D13,0)</f>
        <v>0</v>
      </c>
      <c r="K42" s="140">
        <f t="shared" si="2"/>
        <v>578883.99560971197</v>
      </c>
      <c r="L42" s="141">
        <v>0</v>
      </c>
      <c r="M42" s="5"/>
    </row>
    <row r="43" spans="1:26" ht="15.75" customHeight="1" x14ac:dyDescent="0.25">
      <c r="B43" s="14"/>
      <c r="C43" s="123"/>
      <c r="D43" s="123"/>
      <c r="E43" s="123"/>
      <c r="F43" s="54">
        <v>35</v>
      </c>
      <c r="G43" s="140">
        <f t="shared" si="1"/>
        <v>3694.3032025583493</v>
      </c>
      <c r="H43" s="140">
        <f t="shared" si="0"/>
        <v>679.28239209109961</v>
      </c>
      <c r="I43" s="140">
        <f>K42*D9/12</f>
        <v>3015.0208104672497</v>
      </c>
      <c r="J43" s="140">
        <f>IF(K42&gt;=(D10*D14),D13,0)</f>
        <v>0</v>
      </c>
      <c r="K43" s="140">
        <f t="shared" si="2"/>
        <v>578204.71321762085</v>
      </c>
      <c r="L43" s="141">
        <v>0</v>
      </c>
      <c r="M43" s="5"/>
    </row>
    <row r="44" spans="1:26" ht="15.75" customHeight="1" x14ac:dyDescent="0.25">
      <c r="B44" s="14"/>
      <c r="C44" s="123"/>
      <c r="D44" s="123"/>
      <c r="E44" s="123"/>
      <c r="F44" s="152">
        <v>36</v>
      </c>
      <c r="G44" s="153">
        <f t="shared" si="1"/>
        <v>3694.3032025583493</v>
      </c>
      <c r="H44" s="153">
        <f t="shared" si="0"/>
        <v>682.82032121657403</v>
      </c>
      <c r="I44" s="153">
        <f>K43*D9/12</f>
        <v>3011.4828813417753</v>
      </c>
      <c r="J44" s="153">
        <f>IF(K43&gt;=(D10*D14),D13,0)</f>
        <v>0</v>
      </c>
      <c r="K44" s="153">
        <f t="shared" si="2"/>
        <v>577521.89289640426</v>
      </c>
      <c r="L44" s="154">
        <v>0</v>
      </c>
      <c r="M44" s="5"/>
    </row>
    <row r="45" spans="1:26" ht="11.25" customHeight="1" x14ac:dyDescent="0.25">
      <c r="B45" s="62"/>
      <c r="C45" s="155"/>
      <c r="D45" s="155"/>
      <c r="E45" s="155"/>
      <c r="F45" s="156"/>
      <c r="G45" s="157"/>
      <c r="H45" s="157"/>
      <c r="I45" s="157"/>
      <c r="J45" s="157"/>
      <c r="K45" s="157"/>
      <c r="L45" s="158"/>
      <c r="M45" s="64"/>
    </row>
    <row r="46" spans="1:26" ht="11.25" customHeight="1" x14ac:dyDescent="0.25">
      <c r="C46" s="120"/>
      <c r="D46" s="120"/>
      <c r="E46" s="120"/>
      <c r="F46" s="159"/>
      <c r="G46" s="140"/>
      <c r="H46" s="140"/>
      <c r="I46" s="140"/>
      <c r="J46" s="140"/>
      <c r="K46" s="140"/>
      <c r="L46" s="56"/>
    </row>
    <row r="47" spans="1:26" ht="11.25" customHeight="1" x14ac:dyDescent="0.25">
      <c r="B47" s="1"/>
      <c r="C47" s="160"/>
      <c r="D47" s="121"/>
      <c r="E47" s="121"/>
      <c r="F47" s="121"/>
      <c r="G47" s="121"/>
      <c r="H47" s="121"/>
      <c r="I47" s="121"/>
      <c r="J47" s="121"/>
      <c r="K47" s="121"/>
      <c r="L47" s="161"/>
      <c r="M47" s="3"/>
    </row>
    <row r="48" spans="1:26" ht="22.5" customHeight="1" x14ac:dyDescent="0.25">
      <c r="A48" s="129"/>
      <c r="B48" s="130"/>
      <c r="C48" s="131"/>
      <c r="D48" s="131"/>
      <c r="E48" s="131"/>
      <c r="F48" s="132" t="s">
        <v>103</v>
      </c>
      <c r="G48" s="133" t="s">
        <v>104</v>
      </c>
      <c r="H48" s="133" t="s">
        <v>105</v>
      </c>
      <c r="I48" s="133" t="s">
        <v>106</v>
      </c>
      <c r="J48" s="133" t="s">
        <v>107</v>
      </c>
      <c r="K48" s="133" t="s">
        <v>108</v>
      </c>
      <c r="L48" s="134" t="s">
        <v>109</v>
      </c>
      <c r="M48" s="135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spans="2:13" ht="11.25" customHeight="1" x14ac:dyDescent="0.25">
      <c r="B49" s="14"/>
      <c r="C49" s="123"/>
      <c r="D49" s="123"/>
      <c r="E49" s="123"/>
      <c r="F49" s="75"/>
      <c r="G49" s="76"/>
      <c r="H49" s="76"/>
      <c r="I49" s="76"/>
      <c r="J49" s="76"/>
      <c r="K49" s="76"/>
      <c r="L49" s="136"/>
      <c r="M49" s="5"/>
    </row>
    <row r="50" spans="2:13" ht="15.75" customHeight="1" x14ac:dyDescent="0.25">
      <c r="B50" s="14"/>
      <c r="C50" s="137" t="s">
        <v>114</v>
      </c>
      <c r="D50" s="138">
        <f t="shared" ref="D50:D55" si="3">D9</f>
        <v>6.25E-2</v>
      </c>
      <c r="E50" s="139"/>
      <c r="F50" s="54">
        <v>37</v>
      </c>
      <c r="G50" s="140">
        <f>IF(K44=0,0,G44)</f>
        <v>3694.3032025583493</v>
      </c>
      <c r="H50" s="140">
        <f t="shared" ref="H50:H91" si="4">G50-I50</f>
        <v>686.37667705624381</v>
      </c>
      <c r="I50" s="140">
        <f>K44*D50/12</f>
        <v>3007.9265255021055</v>
      </c>
      <c r="J50" s="140">
        <f>IF(K44&gt;=(D51*D55),D54,0)</f>
        <v>0</v>
      </c>
      <c r="K50" s="140">
        <f>IF(K44-H50-L50&gt;0,K44-H50-L50,0)</f>
        <v>576835.51621934806</v>
      </c>
      <c r="L50" s="141">
        <v>0</v>
      </c>
      <c r="M50" s="5"/>
    </row>
    <row r="51" spans="2:13" ht="15.75" customHeight="1" x14ac:dyDescent="0.25">
      <c r="B51" s="14"/>
      <c r="C51" s="142" t="s">
        <v>3</v>
      </c>
      <c r="D51" s="143">
        <f t="shared" si="3"/>
        <v>750000</v>
      </c>
      <c r="E51" s="144"/>
      <c r="F51" s="54">
        <v>38</v>
      </c>
      <c r="G51" s="140">
        <f t="shared" ref="G51:G91" si="5">IF(K50=0,0,G50)</f>
        <v>3694.3032025583493</v>
      </c>
      <c r="H51" s="140">
        <f t="shared" si="4"/>
        <v>689.95155558257829</v>
      </c>
      <c r="I51" s="140">
        <f>K50*D50/12</f>
        <v>3004.351646975771</v>
      </c>
      <c r="J51" s="140">
        <f>IF(K50&gt;=(D51*D55),D54,0)</f>
        <v>0</v>
      </c>
      <c r="K51" s="140">
        <f t="shared" ref="K51:K91" si="6">IF(K50-H51-L51&gt;0,K50-H51-L51,)</f>
        <v>576145.56466376549</v>
      </c>
      <c r="L51" s="141">
        <v>0</v>
      </c>
      <c r="M51" s="5"/>
    </row>
    <row r="52" spans="2:13" ht="15.75" customHeight="1" x14ac:dyDescent="0.25">
      <c r="B52" s="14"/>
      <c r="C52" s="142" t="s">
        <v>111</v>
      </c>
      <c r="D52" s="143">
        <f t="shared" si="3"/>
        <v>600000</v>
      </c>
      <c r="E52" s="144"/>
      <c r="F52" s="54">
        <v>39</v>
      </c>
      <c r="G52" s="140">
        <f t="shared" si="5"/>
        <v>3694.3032025583493</v>
      </c>
      <c r="H52" s="140">
        <f t="shared" si="4"/>
        <v>693.54505326790422</v>
      </c>
      <c r="I52" s="140">
        <f>K51*D50/12</f>
        <v>3000.7581492904451</v>
      </c>
      <c r="J52" s="140">
        <f>IF(K51&gt;=(D51*D55),D54,0)</f>
        <v>0</v>
      </c>
      <c r="K52" s="140">
        <f t="shared" si="6"/>
        <v>575452.01961049763</v>
      </c>
      <c r="L52" s="141">
        <v>0</v>
      </c>
      <c r="M52" s="5"/>
    </row>
    <row r="53" spans="2:13" ht="15.75" customHeight="1" x14ac:dyDescent="0.25">
      <c r="B53" s="14"/>
      <c r="C53" s="142" t="s">
        <v>112</v>
      </c>
      <c r="D53" s="145">
        <f t="shared" si="3"/>
        <v>360</v>
      </c>
      <c r="E53" s="123"/>
      <c r="F53" s="54">
        <v>40</v>
      </c>
      <c r="G53" s="140">
        <f t="shared" si="5"/>
        <v>3694.3032025583493</v>
      </c>
      <c r="H53" s="140">
        <f t="shared" si="4"/>
        <v>697.15726708700731</v>
      </c>
      <c r="I53" s="140">
        <f>K52*D50/12</f>
        <v>2997.145935471342</v>
      </c>
      <c r="J53" s="140">
        <f>IF(K52&gt;=(D51*D55),D54,0)</f>
        <v>0</v>
      </c>
      <c r="K53" s="140">
        <f t="shared" si="6"/>
        <v>574754.86234341061</v>
      </c>
      <c r="L53" s="141">
        <v>0</v>
      </c>
      <c r="M53" s="5"/>
    </row>
    <row r="54" spans="2:13" ht="15.75" customHeight="1" x14ac:dyDescent="0.25">
      <c r="B54" s="14"/>
      <c r="C54" s="142" t="s">
        <v>32</v>
      </c>
      <c r="D54" s="146" t="str">
        <f t="shared" si="3"/>
        <v/>
      </c>
      <c r="E54" s="147"/>
      <c r="F54" s="54">
        <v>41</v>
      </c>
      <c r="G54" s="140">
        <f t="shared" si="5"/>
        <v>3694.3032025583493</v>
      </c>
      <c r="H54" s="140">
        <f t="shared" si="4"/>
        <v>700.78829451975253</v>
      </c>
      <c r="I54" s="140">
        <f>K53*D50/12</f>
        <v>2993.5149080385968</v>
      </c>
      <c r="J54" s="140">
        <f>IF(K53&gt;=(D51*D55),D54,0)</f>
        <v>0</v>
      </c>
      <c r="K54" s="140">
        <f t="shared" si="6"/>
        <v>574054.07404889085</v>
      </c>
      <c r="L54" s="141">
        <v>0</v>
      </c>
      <c r="M54" s="5"/>
    </row>
    <row r="55" spans="2:13" ht="15.75" customHeight="1" x14ac:dyDescent="0.25">
      <c r="B55" s="14"/>
      <c r="C55" s="148" t="s">
        <v>113</v>
      </c>
      <c r="D55" s="149">
        <f t="shared" si="3"/>
        <v>0.8</v>
      </c>
      <c r="E55" s="150"/>
      <c r="F55" s="54">
        <v>42</v>
      </c>
      <c r="G55" s="140">
        <f t="shared" si="5"/>
        <v>3694.3032025583493</v>
      </c>
      <c r="H55" s="140">
        <f t="shared" si="4"/>
        <v>704.43823355370932</v>
      </c>
      <c r="I55" s="140">
        <f>K54*D50/12</f>
        <v>2989.86496900464</v>
      </c>
      <c r="J55" s="140">
        <f>IF(K54&gt;=(D51*D55),D54,0)</f>
        <v>0</v>
      </c>
      <c r="K55" s="140">
        <f t="shared" si="6"/>
        <v>573349.63581533718</v>
      </c>
      <c r="L55" s="141">
        <v>0</v>
      </c>
      <c r="M55" s="5"/>
    </row>
    <row r="56" spans="2:13" ht="15.75" customHeight="1" x14ac:dyDescent="0.25">
      <c r="B56" s="14"/>
      <c r="C56" s="123"/>
      <c r="D56" s="123"/>
      <c r="E56" s="123"/>
      <c r="F56" s="54">
        <v>43</v>
      </c>
      <c r="G56" s="140">
        <f t="shared" si="5"/>
        <v>3694.3032025583493</v>
      </c>
      <c r="H56" s="140">
        <f t="shared" si="4"/>
        <v>708.10718268680148</v>
      </c>
      <c r="I56" s="140">
        <f>K55*D50/12</f>
        <v>2986.1960198715478</v>
      </c>
      <c r="J56" s="140">
        <f>IF(K55&gt;=(D51*D55),D54,0)</f>
        <v>0</v>
      </c>
      <c r="K56" s="140">
        <f t="shared" si="6"/>
        <v>572641.52863265038</v>
      </c>
      <c r="L56" s="141">
        <v>0</v>
      </c>
      <c r="M56" s="5"/>
    </row>
    <row r="57" spans="2:13" ht="15.75" customHeight="1" x14ac:dyDescent="0.25">
      <c r="B57" s="14"/>
      <c r="C57" s="123"/>
      <c r="D57" s="123"/>
      <c r="E57" s="123"/>
      <c r="F57" s="54">
        <v>44</v>
      </c>
      <c r="G57" s="140">
        <f t="shared" si="5"/>
        <v>3694.3032025583493</v>
      </c>
      <c r="H57" s="140">
        <f t="shared" si="4"/>
        <v>711.79524092996189</v>
      </c>
      <c r="I57" s="140">
        <f>K56*D50/12</f>
        <v>2982.5079616283874</v>
      </c>
      <c r="J57" s="140">
        <f>IF(K56&gt;=(D51*D55),D54,0)</f>
        <v>0</v>
      </c>
      <c r="K57" s="140">
        <f t="shared" si="6"/>
        <v>571929.73339172045</v>
      </c>
      <c r="L57" s="141">
        <v>0</v>
      </c>
      <c r="M57" s="5"/>
    </row>
    <row r="58" spans="2:13" ht="15.75" customHeight="1" x14ac:dyDescent="0.25">
      <c r="B58" s="14"/>
      <c r="C58" s="147"/>
      <c r="D58" s="123"/>
      <c r="E58" s="123"/>
      <c r="F58" s="54">
        <v>45</v>
      </c>
      <c r="G58" s="140">
        <f t="shared" si="5"/>
        <v>3694.3032025583493</v>
      </c>
      <c r="H58" s="140">
        <f t="shared" si="4"/>
        <v>715.50250780980514</v>
      </c>
      <c r="I58" s="140">
        <f>K57*D50/12</f>
        <v>2978.8006947485442</v>
      </c>
      <c r="J58" s="140">
        <f>IF(K57&gt;=(D51*D55),D54,0)</f>
        <v>0</v>
      </c>
      <c r="K58" s="140">
        <f t="shared" si="6"/>
        <v>571214.23088391067</v>
      </c>
      <c r="L58" s="141">
        <v>0</v>
      </c>
      <c r="M58" s="5"/>
    </row>
    <row r="59" spans="2:13" ht="15.75" customHeight="1" x14ac:dyDescent="0.25">
      <c r="B59" s="14"/>
      <c r="C59" s="123"/>
      <c r="D59" s="123"/>
      <c r="E59" s="123"/>
      <c r="F59" s="54">
        <v>46</v>
      </c>
      <c r="G59" s="140">
        <f t="shared" si="5"/>
        <v>3694.3032025583493</v>
      </c>
      <c r="H59" s="140">
        <f t="shared" si="4"/>
        <v>719.22908337131457</v>
      </c>
      <c r="I59" s="140">
        <f>K58*D50/12</f>
        <v>2975.0741191870347</v>
      </c>
      <c r="J59" s="140">
        <f>IF(K58&gt;=(D51*D55),D54,0)</f>
        <v>0</v>
      </c>
      <c r="K59" s="140">
        <f t="shared" si="6"/>
        <v>570495.00180053932</v>
      </c>
      <c r="L59" s="141">
        <v>0</v>
      </c>
      <c r="M59" s="5"/>
    </row>
    <row r="60" spans="2:13" ht="15.75" customHeight="1" x14ac:dyDescent="0.25">
      <c r="B60" s="14"/>
      <c r="C60" s="123"/>
      <c r="D60" s="123"/>
      <c r="E60" s="123"/>
      <c r="F60" s="54">
        <v>47</v>
      </c>
      <c r="G60" s="140">
        <f t="shared" si="5"/>
        <v>3694.3032025583493</v>
      </c>
      <c r="H60" s="140">
        <f t="shared" si="4"/>
        <v>722.97506818054035</v>
      </c>
      <c r="I60" s="140">
        <f>K59*D50/12</f>
        <v>2971.328134377809</v>
      </c>
      <c r="J60" s="140">
        <f>IF(K59&gt;=(D51*D55),D54,0)</f>
        <v>0</v>
      </c>
      <c r="K60" s="140">
        <f t="shared" si="6"/>
        <v>569772.02673235873</v>
      </c>
      <c r="L60" s="141">
        <v>0</v>
      </c>
      <c r="M60" s="5"/>
    </row>
    <row r="61" spans="2:13" ht="15.75" customHeight="1" x14ac:dyDescent="0.25">
      <c r="B61" s="14"/>
      <c r="C61" s="123"/>
      <c r="D61" s="123"/>
      <c r="E61" s="123"/>
      <c r="F61" s="151">
        <v>48</v>
      </c>
      <c r="G61" s="140">
        <f t="shared" si="5"/>
        <v>3694.3032025583493</v>
      </c>
      <c r="H61" s="140">
        <f t="shared" si="4"/>
        <v>726.74056332731425</v>
      </c>
      <c r="I61" s="140">
        <f>K60*D50/12</f>
        <v>2967.5626392310351</v>
      </c>
      <c r="J61" s="140">
        <f>IF(K60&gt;=(D51*D55),D54,0)</f>
        <v>0</v>
      </c>
      <c r="K61" s="140">
        <f t="shared" si="6"/>
        <v>569045.2861690314</v>
      </c>
      <c r="L61" s="141">
        <v>0</v>
      </c>
      <c r="M61" s="5"/>
    </row>
    <row r="62" spans="2:13" ht="15.75" customHeight="1" x14ac:dyDescent="0.25">
      <c r="B62" s="14"/>
      <c r="C62" s="123"/>
      <c r="D62" s="123"/>
      <c r="E62" s="123"/>
      <c r="F62" s="54">
        <v>49</v>
      </c>
      <c r="G62" s="140">
        <f t="shared" si="5"/>
        <v>3694.3032025583493</v>
      </c>
      <c r="H62" s="140">
        <f t="shared" si="4"/>
        <v>730.52567042797727</v>
      </c>
      <c r="I62" s="140">
        <f>K61*D50/12</f>
        <v>2963.777532130372</v>
      </c>
      <c r="J62" s="140">
        <f>IF(K61&gt;=(D51*D55),D54,0)</f>
        <v>0</v>
      </c>
      <c r="K62" s="140">
        <f t="shared" si="6"/>
        <v>568314.76049860346</v>
      </c>
      <c r="L62" s="141">
        <v>0</v>
      </c>
      <c r="M62" s="5"/>
    </row>
    <row r="63" spans="2:13" ht="15.75" customHeight="1" x14ac:dyDescent="0.25">
      <c r="B63" s="14"/>
      <c r="C63" s="123"/>
      <c r="D63" s="123"/>
      <c r="E63" s="123"/>
      <c r="F63" s="54">
        <v>50</v>
      </c>
      <c r="G63" s="140">
        <f t="shared" si="5"/>
        <v>3694.3032025583493</v>
      </c>
      <c r="H63" s="140">
        <f t="shared" si="4"/>
        <v>734.33049162812313</v>
      </c>
      <c r="I63" s="140">
        <f>K62*D50/12</f>
        <v>2959.9727109302262</v>
      </c>
      <c r="J63" s="140">
        <f>IF(K62&gt;=(D51*D55),D54,0)</f>
        <v>0</v>
      </c>
      <c r="K63" s="140">
        <f t="shared" si="6"/>
        <v>567580.43000697531</v>
      </c>
      <c r="L63" s="141">
        <v>0</v>
      </c>
      <c r="M63" s="5"/>
    </row>
    <row r="64" spans="2:13" ht="15.75" customHeight="1" x14ac:dyDescent="0.25">
      <c r="B64" s="14"/>
      <c r="C64" s="123"/>
      <c r="D64" s="123"/>
      <c r="E64" s="123"/>
      <c r="F64" s="54">
        <v>51</v>
      </c>
      <c r="G64" s="140">
        <f t="shared" si="5"/>
        <v>3694.3032025583493</v>
      </c>
      <c r="H64" s="140">
        <f t="shared" si="4"/>
        <v>738.15512960535307</v>
      </c>
      <c r="I64" s="140">
        <f>K63*D50/12</f>
        <v>2956.1480729529962</v>
      </c>
      <c r="J64" s="140">
        <f>IF(K63&gt;=(D51*D55),D54,0)</f>
        <v>0</v>
      </c>
      <c r="K64" s="140">
        <f t="shared" si="6"/>
        <v>566842.27487736999</v>
      </c>
      <c r="L64" s="141">
        <v>0</v>
      </c>
      <c r="M64" s="5"/>
    </row>
    <row r="65" spans="2:13" ht="15.75" customHeight="1" x14ac:dyDescent="0.25">
      <c r="B65" s="14"/>
      <c r="C65" s="123"/>
      <c r="D65" s="123"/>
      <c r="E65" s="123"/>
      <c r="F65" s="54">
        <v>52</v>
      </c>
      <c r="G65" s="140">
        <f t="shared" si="5"/>
        <v>3694.3032025583493</v>
      </c>
      <c r="H65" s="140">
        <f t="shared" si="4"/>
        <v>741.99968757204715</v>
      </c>
      <c r="I65" s="140">
        <f>K64*D50/12</f>
        <v>2952.3035149863022</v>
      </c>
      <c r="J65" s="140">
        <f>IF(K64&gt;=(D51*D55),D54,0)</f>
        <v>0</v>
      </c>
      <c r="K65" s="140">
        <f t="shared" si="6"/>
        <v>566100.27518979798</v>
      </c>
      <c r="L65" s="141">
        <v>0</v>
      </c>
      <c r="M65" s="5"/>
    </row>
    <row r="66" spans="2:13" ht="15.75" customHeight="1" x14ac:dyDescent="0.25">
      <c r="B66" s="14"/>
      <c r="C66" s="123"/>
      <c r="D66" s="123"/>
      <c r="E66" s="123"/>
      <c r="F66" s="54">
        <v>53</v>
      </c>
      <c r="G66" s="140">
        <f t="shared" si="5"/>
        <v>3694.3032025583493</v>
      </c>
      <c r="H66" s="140">
        <f t="shared" si="4"/>
        <v>745.86426927815137</v>
      </c>
      <c r="I66" s="140">
        <f>K65*D50/12</f>
        <v>2948.4389332801979</v>
      </c>
      <c r="J66" s="140">
        <f>IF(K65&gt;=(D51*D55),D54,0)</f>
        <v>0</v>
      </c>
      <c r="K66" s="140">
        <f t="shared" si="6"/>
        <v>565354.41092051985</v>
      </c>
      <c r="L66" s="141">
        <v>0</v>
      </c>
      <c r="M66" s="5"/>
    </row>
    <row r="67" spans="2:13" ht="15.75" customHeight="1" x14ac:dyDescent="0.25">
      <c r="B67" s="14"/>
      <c r="C67" s="123"/>
      <c r="D67" s="123"/>
      <c r="E67" s="123"/>
      <c r="F67" s="54">
        <v>54</v>
      </c>
      <c r="G67" s="140">
        <f t="shared" si="5"/>
        <v>3694.3032025583493</v>
      </c>
      <c r="H67" s="140">
        <f t="shared" si="4"/>
        <v>749.74897901397526</v>
      </c>
      <c r="I67" s="140">
        <f>K66*D50/12</f>
        <v>2944.5542235443741</v>
      </c>
      <c r="J67" s="140">
        <f>IF(K66&gt;=(D51*D55),D54,0)</f>
        <v>0</v>
      </c>
      <c r="K67" s="140">
        <f t="shared" si="6"/>
        <v>564604.66194150585</v>
      </c>
      <c r="L67" s="141">
        <v>0</v>
      </c>
      <c r="M67" s="5"/>
    </row>
    <row r="68" spans="2:13" ht="15.75" customHeight="1" x14ac:dyDescent="0.25">
      <c r="B68" s="14"/>
      <c r="C68" s="123"/>
      <c r="D68" s="123"/>
      <c r="E68" s="123"/>
      <c r="F68" s="54">
        <v>55</v>
      </c>
      <c r="G68" s="140">
        <f t="shared" si="5"/>
        <v>3694.3032025583493</v>
      </c>
      <c r="H68" s="140">
        <f t="shared" si="4"/>
        <v>753.65392161300633</v>
      </c>
      <c r="I68" s="140">
        <f>K67*D50/12</f>
        <v>2940.649280945343</v>
      </c>
      <c r="J68" s="140">
        <f>IF(K67&gt;=(D51*D55),D54,0)</f>
        <v>0</v>
      </c>
      <c r="K68" s="140">
        <f t="shared" si="6"/>
        <v>563851.00801989285</v>
      </c>
      <c r="L68" s="141">
        <v>0</v>
      </c>
      <c r="M68" s="5"/>
    </row>
    <row r="69" spans="2:13" ht="15.75" customHeight="1" x14ac:dyDescent="0.25">
      <c r="B69" s="14"/>
      <c r="C69" s="123"/>
      <c r="D69" s="123"/>
      <c r="E69" s="123"/>
      <c r="F69" s="54">
        <v>56</v>
      </c>
      <c r="G69" s="140">
        <f t="shared" si="5"/>
        <v>3694.3032025583493</v>
      </c>
      <c r="H69" s="140">
        <f t="shared" si="4"/>
        <v>757.57920245474088</v>
      </c>
      <c r="I69" s="140">
        <f>K68*D50/12</f>
        <v>2936.7240001036084</v>
      </c>
      <c r="J69" s="140">
        <f>IF(K68&gt;=(D51*D55),D54,0)</f>
        <v>0</v>
      </c>
      <c r="K69" s="140">
        <f t="shared" si="6"/>
        <v>563093.42881743808</v>
      </c>
      <c r="L69" s="141">
        <v>0</v>
      </c>
      <c r="M69" s="5"/>
    </row>
    <row r="70" spans="2:13" ht="15.75" customHeight="1" x14ac:dyDescent="0.25">
      <c r="B70" s="14"/>
      <c r="C70" s="123"/>
      <c r="D70" s="123"/>
      <c r="E70" s="123"/>
      <c r="F70" s="54">
        <v>57</v>
      </c>
      <c r="G70" s="140">
        <f t="shared" si="5"/>
        <v>3694.3032025583493</v>
      </c>
      <c r="H70" s="140">
        <f t="shared" si="4"/>
        <v>761.52492746752614</v>
      </c>
      <c r="I70" s="140">
        <f>K69*D50/12</f>
        <v>2932.7782750908232</v>
      </c>
      <c r="J70" s="140">
        <f>IF(K69&gt;=(D51*D55),D54,0)</f>
        <v>0</v>
      </c>
      <c r="K70" s="140">
        <f t="shared" si="6"/>
        <v>562331.9038899705</v>
      </c>
      <c r="L70" s="141">
        <v>0</v>
      </c>
      <c r="M70" s="5"/>
    </row>
    <row r="71" spans="2:13" ht="15.75" customHeight="1" x14ac:dyDescent="0.25">
      <c r="B71" s="14"/>
      <c r="C71" s="123"/>
      <c r="D71" s="123"/>
      <c r="E71" s="123"/>
      <c r="F71" s="54">
        <v>58</v>
      </c>
      <c r="G71" s="140">
        <f t="shared" si="5"/>
        <v>3694.3032025583493</v>
      </c>
      <c r="H71" s="140">
        <f t="shared" si="4"/>
        <v>765.49120313141975</v>
      </c>
      <c r="I71" s="140">
        <f>K70*D50/12</f>
        <v>2928.8119994269296</v>
      </c>
      <c r="J71" s="140">
        <f>IF(K70&gt;=(D51*D55),D54,0)</f>
        <v>0</v>
      </c>
      <c r="K71" s="140">
        <f t="shared" si="6"/>
        <v>561566.41268683912</v>
      </c>
      <c r="L71" s="141">
        <v>0</v>
      </c>
      <c r="M71" s="5"/>
    </row>
    <row r="72" spans="2:13" ht="15.75" customHeight="1" x14ac:dyDescent="0.25">
      <c r="B72" s="14"/>
      <c r="C72" s="123"/>
      <c r="D72" s="123"/>
      <c r="E72" s="123"/>
      <c r="F72" s="54">
        <v>59</v>
      </c>
      <c r="G72" s="140">
        <f t="shared" si="5"/>
        <v>3694.3032025583493</v>
      </c>
      <c r="H72" s="140">
        <f t="shared" si="4"/>
        <v>769.47813648106239</v>
      </c>
      <c r="I72" s="140">
        <f>K71*D50/12</f>
        <v>2924.8250660772869</v>
      </c>
      <c r="J72" s="140">
        <f>IF(K71&gt;=(D51*D55),D54,0)</f>
        <v>0</v>
      </c>
      <c r="K72" s="140">
        <f t="shared" si="6"/>
        <v>560796.9345503581</v>
      </c>
      <c r="L72" s="141">
        <v>0</v>
      </c>
      <c r="M72" s="5"/>
    </row>
    <row r="73" spans="2:13" ht="15.75" customHeight="1" x14ac:dyDescent="0.25">
      <c r="B73" s="14"/>
      <c r="C73" s="123"/>
      <c r="D73" s="123"/>
      <c r="E73" s="123"/>
      <c r="F73" s="151">
        <v>60</v>
      </c>
      <c r="G73" s="140">
        <f t="shared" si="5"/>
        <v>3694.3032025583493</v>
      </c>
      <c r="H73" s="140">
        <f t="shared" si="4"/>
        <v>773.4858351085677</v>
      </c>
      <c r="I73" s="140">
        <f>K72*D50/12</f>
        <v>2920.8173674497816</v>
      </c>
      <c r="J73" s="140">
        <f>IF(K72&gt;=(D51*D55),D54,0)</f>
        <v>0</v>
      </c>
      <c r="K73" s="140">
        <f t="shared" si="6"/>
        <v>560023.44871524954</v>
      </c>
      <c r="L73" s="141">
        <v>0</v>
      </c>
      <c r="M73" s="5"/>
    </row>
    <row r="74" spans="2:13" ht="15.75" customHeight="1" x14ac:dyDescent="0.25">
      <c r="B74" s="14"/>
      <c r="C74" s="123"/>
      <c r="D74" s="123"/>
      <c r="E74" s="123"/>
      <c r="F74" s="54">
        <v>61</v>
      </c>
      <c r="G74" s="140">
        <f t="shared" si="5"/>
        <v>3694.3032025583493</v>
      </c>
      <c r="H74" s="140">
        <f t="shared" si="4"/>
        <v>777.51440716642446</v>
      </c>
      <c r="I74" s="140">
        <f>K73*D50/12</f>
        <v>2916.7887953919249</v>
      </c>
      <c r="J74" s="140">
        <f>IF(K73&gt;=(D51*D55),D54,0)</f>
        <v>0</v>
      </c>
      <c r="K74" s="140">
        <f t="shared" si="6"/>
        <v>559245.93430808315</v>
      </c>
      <c r="L74" s="141">
        <v>0</v>
      </c>
      <c r="M74" s="5"/>
    </row>
    <row r="75" spans="2:13" ht="15.75" customHeight="1" x14ac:dyDescent="0.25">
      <c r="B75" s="14"/>
      <c r="C75" s="123"/>
      <c r="D75" s="123"/>
      <c r="E75" s="123"/>
      <c r="F75" s="54">
        <v>62</v>
      </c>
      <c r="G75" s="140">
        <f t="shared" si="5"/>
        <v>3694.3032025583493</v>
      </c>
      <c r="H75" s="140">
        <f t="shared" si="4"/>
        <v>781.56396137041611</v>
      </c>
      <c r="I75" s="140">
        <f>K74*D50/12</f>
        <v>2912.7392411879332</v>
      </c>
      <c r="J75" s="140">
        <f>IF(K74&gt;=(D51*D55),D54,0)</f>
        <v>0</v>
      </c>
      <c r="K75" s="140">
        <f t="shared" si="6"/>
        <v>558464.37034671276</v>
      </c>
      <c r="L75" s="141">
        <v>0</v>
      </c>
      <c r="M75" s="5"/>
    </row>
    <row r="76" spans="2:13" ht="15.75" customHeight="1" x14ac:dyDescent="0.25">
      <c r="B76" s="14"/>
      <c r="C76" s="123"/>
      <c r="D76" s="123"/>
      <c r="E76" s="123"/>
      <c r="F76" s="162">
        <v>63</v>
      </c>
      <c r="G76" s="140">
        <f t="shared" si="5"/>
        <v>3694.3032025583493</v>
      </c>
      <c r="H76" s="163">
        <f t="shared" si="4"/>
        <v>785.63460700255382</v>
      </c>
      <c r="I76" s="163">
        <f>K75*D50/12</f>
        <v>2908.6685955557955</v>
      </c>
      <c r="J76" s="140">
        <f>IF(K75&gt;=(D51*D55),D54,0)</f>
        <v>0</v>
      </c>
      <c r="K76" s="140">
        <f t="shared" si="6"/>
        <v>557678.73573971016</v>
      </c>
      <c r="L76" s="164">
        <v>0</v>
      </c>
      <c r="M76" s="5"/>
    </row>
    <row r="77" spans="2:13" ht="15.75" customHeight="1" x14ac:dyDescent="0.25">
      <c r="B77" s="14"/>
      <c r="C77" s="123"/>
      <c r="D77" s="123"/>
      <c r="E77" s="123"/>
      <c r="F77" s="54">
        <v>64</v>
      </c>
      <c r="G77" s="140">
        <f t="shared" si="5"/>
        <v>3694.3032025583493</v>
      </c>
      <c r="H77" s="140">
        <f t="shared" si="4"/>
        <v>789.72645391402557</v>
      </c>
      <c r="I77" s="140">
        <f>K76*D50/12</f>
        <v>2904.5767486443237</v>
      </c>
      <c r="J77" s="140">
        <f>IF(K76&gt;=(D51*D55),D54,0)</f>
        <v>0</v>
      </c>
      <c r="K77" s="140">
        <f t="shared" si="6"/>
        <v>556889.00928579608</v>
      </c>
      <c r="L77" s="141">
        <v>0</v>
      </c>
      <c r="M77" s="5"/>
    </row>
    <row r="78" spans="2:13" ht="15.75" customHeight="1" x14ac:dyDescent="0.25">
      <c r="B78" s="14"/>
      <c r="C78" s="123"/>
      <c r="D78" s="123"/>
      <c r="E78" s="123"/>
      <c r="F78" s="54">
        <v>65</v>
      </c>
      <c r="G78" s="140">
        <f t="shared" si="5"/>
        <v>3694.3032025583493</v>
      </c>
      <c r="H78" s="140">
        <f t="shared" si="4"/>
        <v>793.83961252816152</v>
      </c>
      <c r="I78" s="140">
        <f>K77*D50/12</f>
        <v>2900.4635900301878</v>
      </c>
      <c r="J78" s="140">
        <f>IF(K77&gt;=(D51*D55),D54,0)</f>
        <v>0</v>
      </c>
      <c r="K78" s="140">
        <f t="shared" si="6"/>
        <v>556095.16967326787</v>
      </c>
      <c r="L78" s="141">
        <v>0</v>
      </c>
      <c r="M78" s="5"/>
    </row>
    <row r="79" spans="2:13" ht="15.75" customHeight="1" x14ac:dyDescent="0.25">
      <c r="B79" s="14"/>
      <c r="C79" s="123"/>
      <c r="D79" s="123"/>
      <c r="E79" s="123"/>
      <c r="F79" s="54">
        <v>66</v>
      </c>
      <c r="G79" s="140">
        <f t="shared" si="5"/>
        <v>3694.3032025583493</v>
      </c>
      <c r="H79" s="140">
        <f t="shared" si="4"/>
        <v>797.97419384341265</v>
      </c>
      <c r="I79" s="140">
        <f>K78*D50/12</f>
        <v>2896.3290087149367</v>
      </c>
      <c r="J79" s="140">
        <f>IF(K78&gt;=(D51*D55),D54,0)</f>
        <v>0</v>
      </c>
      <c r="K79" s="140">
        <f t="shared" si="6"/>
        <v>555297.19547942444</v>
      </c>
      <c r="L79" s="141">
        <v>0</v>
      </c>
      <c r="M79" s="5"/>
    </row>
    <row r="80" spans="2:13" ht="15.75" customHeight="1" x14ac:dyDescent="0.25">
      <c r="B80" s="14"/>
      <c r="C80" s="123"/>
      <c r="D80" s="123"/>
      <c r="E80" s="123"/>
      <c r="F80" s="54">
        <v>67</v>
      </c>
      <c r="G80" s="140">
        <f t="shared" si="5"/>
        <v>3694.3032025583493</v>
      </c>
      <c r="H80" s="140">
        <f t="shared" si="4"/>
        <v>802.13030943634703</v>
      </c>
      <c r="I80" s="140">
        <f>K79*D50/12</f>
        <v>2892.1728931220023</v>
      </c>
      <c r="J80" s="140">
        <f>IF(K79&gt;=(D51*D55),D54,0)</f>
        <v>0</v>
      </c>
      <c r="K80" s="140">
        <f t="shared" si="6"/>
        <v>554495.06516998808</v>
      </c>
      <c r="L80" s="141">
        <v>0</v>
      </c>
      <c r="M80" s="5"/>
    </row>
    <row r="81" spans="1:26" ht="15.75" customHeight="1" x14ac:dyDescent="0.25">
      <c r="B81" s="14"/>
      <c r="C81" s="123"/>
      <c r="D81" s="123"/>
      <c r="E81" s="123"/>
      <c r="F81" s="54">
        <v>68</v>
      </c>
      <c r="G81" s="140">
        <f t="shared" si="5"/>
        <v>3694.3032025583493</v>
      </c>
      <c r="H81" s="140">
        <f t="shared" si="4"/>
        <v>806.30807146466123</v>
      </c>
      <c r="I81" s="140">
        <f>K80*D50/12</f>
        <v>2887.9951310936881</v>
      </c>
      <c r="J81" s="140">
        <f>IF(K80&gt;=(D51*D55),D54,0)</f>
        <v>0</v>
      </c>
      <c r="K81" s="140">
        <f t="shared" si="6"/>
        <v>553688.75709852343</v>
      </c>
      <c r="L81" s="141">
        <v>0</v>
      </c>
      <c r="M81" s="5"/>
    </row>
    <row r="82" spans="1:26" ht="15.75" customHeight="1" x14ac:dyDescent="0.25">
      <c r="B82" s="14"/>
      <c r="C82" s="123"/>
      <c r="D82" s="123"/>
      <c r="E82" s="123"/>
      <c r="F82" s="54">
        <v>69</v>
      </c>
      <c r="G82" s="140">
        <f t="shared" si="5"/>
        <v>3694.3032025583493</v>
      </c>
      <c r="H82" s="140">
        <f t="shared" si="4"/>
        <v>810.50759267020658</v>
      </c>
      <c r="I82" s="140">
        <f>K81*D50/12</f>
        <v>2883.7956098881427</v>
      </c>
      <c r="J82" s="140">
        <f>IF(K81&gt;=(D51*D55),D54,0)</f>
        <v>0</v>
      </c>
      <c r="K82" s="140">
        <f t="shared" si="6"/>
        <v>552878.24950585328</v>
      </c>
      <c r="L82" s="141">
        <v>0</v>
      </c>
      <c r="M82" s="5"/>
    </row>
    <row r="83" spans="1:26" ht="15.75" customHeight="1" x14ac:dyDescent="0.25">
      <c r="B83" s="14"/>
      <c r="C83" s="123"/>
      <c r="D83" s="123"/>
      <c r="E83" s="123"/>
      <c r="F83" s="54">
        <v>70</v>
      </c>
      <c r="G83" s="140">
        <f t="shared" si="5"/>
        <v>3694.3032025583493</v>
      </c>
      <c r="H83" s="140">
        <f t="shared" si="4"/>
        <v>814.72898638203014</v>
      </c>
      <c r="I83" s="140">
        <f>K82*D50/12</f>
        <v>2879.5742161763192</v>
      </c>
      <c r="J83" s="140">
        <f>IF(K82&gt;=(D51*D55),D54,0)</f>
        <v>0</v>
      </c>
      <c r="K83" s="140">
        <f t="shared" si="6"/>
        <v>552063.52051947126</v>
      </c>
      <c r="L83" s="141">
        <v>0</v>
      </c>
      <c r="M83" s="5"/>
    </row>
    <row r="84" spans="1:26" ht="15.75" customHeight="1" x14ac:dyDescent="0.25">
      <c r="B84" s="14"/>
      <c r="C84" s="123"/>
      <c r="D84" s="123"/>
      <c r="E84" s="123"/>
      <c r="F84" s="54">
        <v>71</v>
      </c>
      <c r="G84" s="140">
        <f t="shared" si="5"/>
        <v>3694.3032025583493</v>
      </c>
      <c r="H84" s="140">
        <f t="shared" si="4"/>
        <v>818.97236651943649</v>
      </c>
      <c r="I84" s="140">
        <f>K83*D50/12</f>
        <v>2875.3308360389128</v>
      </c>
      <c r="J84" s="140">
        <f>IF(K83&gt;=(D51*D55),D54,0)</f>
        <v>0</v>
      </c>
      <c r="K84" s="140">
        <f t="shared" si="6"/>
        <v>551244.54815295187</v>
      </c>
      <c r="L84" s="141">
        <v>0</v>
      </c>
      <c r="M84" s="5"/>
    </row>
    <row r="85" spans="1:26" ht="15.75" customHeight="1" x14ac:dyDescent="0.25">
      <c r="B85" s="14"/>
      <c r="C85" s="123"/>
      <c r="D85" s="123"/>
      <c r="E85" s="123"/>
      <c r="F85" s="151">
        <v>72</v>
      </c>
      <c r="G85" s="140">
        <f t="shared" si="5"/>
        <v>3694.3032025583493</v>
      </c>
      <c r="H85" s="140">
        <f t="shared" si="4"/>
        <v>823.23784759505816</v>
      </c>
      <c r="I85" s="140">
        <f>K84*D50/12</f>
        <v>2871.0653549632912</v>
      </c>
      <c r="J85" s="140">
        <f>IF(K84&gt;=(D51*D55),D54,0)</f>
        <v>0</v>
      </c>
      <c r="K85" s="140">
        <f t="shared" si="6"/>
        <v>550421.31030535686</v>
      </c>
      <c r="L85" s="141">
        <v>0</v>
      </c>
      <c r="M85" s="5"/>
    </row>
    <row r="86" spans="1:26" ht="15.75" customHeight="1" x14ac:dyDescent="0.25">
      <c r="B86" s="14"/>
      <c r="C86" s="137" t="s">
        <v>114</v>
      </c>
      <c r="D86" s="138">
        <f t="shared" ref="D86:D91" si="7">D50</f>
        <v>6.25E-2</v>
      </c>
      <c r="E86" s="139"/>
      <c r="F86" s="54">
        <v>73</v>
      </c>
      <c r="G86" s="140">
        <f t="shared" si="5"/>
        <v>3694.3032025583493</v>
      </c>
      <c r="H86" s="140">
        <f t="shared" si="4"/>
        <v>827.52554471794883</v>
      </c>
      <c r="I86" s="140">
        <f>K85*D86/12</f>
        <v>2866.7776578404005</v>
      </c>
      <c r="J86" s="140">
        <f>IF(K85&gt;=(D87*D91),D90,0)</f>
        <v>0</v>
      </c>
      <c r="K86" s="140">
        <f t="shared" si="6"/>
        <v>549593.78476063896</v>
      </c>
      <c r="L86" s="141">
        <v>0</v>
      </c>
      <c r="M86" s="5"/>
    </row>
    <row r="87" spans="1:26" ht="15.75" customHeight="1" x14ac:dyDescent="0.25">
      <c r="B87" s="14"/>
      <c r="C87" s="142" t="s">
        <v>3</v>
      </c>
      <c r="D87" s="143">
        <f t="shared" si="7"/>
        <v>750000</v>
      </c>
      <c r="E87" s="144"/>
      <c r="F87" s="54">
        <v>74</v>
      </c>
      <c r="G87" s="140">
        <f t="shared" si="5"/>
        <v>3694.3032025583493</v>
      </c>
      <c r="H87" s="140">
        <f t="shared" si="4"/>
        <v>831.83557359668794</v>
      </c>
      <c r="I87" s="140">
        <f>K86*D86/12</f>
        <v>2862.4676289616614</v>
      </c>
      <c r="J87" s="140">
        <f>IF(K86&gt;=(D87*D91),D90,0)</f>
        <v>0</v>
      </c>
      <c r="K87" s="140">
        <f t="shared" si="6"/>
        <v>548761.94918704231</v>
      </c>
      <c r="L87" s="141">
        <v>0</v>
      </c>
      <c r="M87" s="5"/>
    </row>
    <row r="88" spans="1:26" ht="15.75" customHeight="1" x14ac:dyDescent="0.25">
      <c r="B88" s="14"/>
      <c r="C88" s="142" t="s">
        <v>111</v>
      </c>
      <c r="D88" s="143">
        <f t="shared" si="7"/>
        <v>600000</v>
      </c>
      <c r="E88" s="144"/>
      <c r="F88" s="54">
        <v>75</v>
      </c>
      <c r="G88" s="140">
        <f t="shared" si="5"/>
        <v>3694.3032025583493</v>
      </c>
      <c r="H88" s="140">
        <f t="shared" si="4"/>
        <v>836.16805054250381</v>
      </c>
      <c r="I88" s="140">
        <f>K87*D86/12</f>
        <v>2858.1351520158455</v>
      </c>
      <c r="J88" s="140">
        <f>IF(K87&gt;=(D87*D91),D90,0)</f>
        <v>0</v>
      </c>
      <c r="K88" s="140">
        <f t="shared" si="6"/>
        <v>547925.78113649983</v>
      </c>
      <c r="L88" s="141">
        <v>0</v>
      </c>
      <c r="M88" s="5"/>
    </row>
    <row r="89" spans="1:26" ht="15.75" customHeight="1" x14ac:dyDescent="0.25">
      <c r="B89" s="14"/>
      <c r="C89" s="142" t="s">
        <v>112</v>
      </c>
      <c r="D89" s="145">
        <f t="shared" si="7"/>
        <v>360</v>
      </c>
      <c r="E89" s="123"/>
      <c r="F89" s="54">
        <v>76</v>
      </c>
      <c r="G89" s="140">
        <f t="shared" si="5"/>
        <v>3694.3032025583493</v>
      </c>
      <c r="H89" s="140">
        <f t="shared" si="4"/>
        <v>840.52309247241283</v>
      </c>
      <c r="I89" s="140">
        <f>K88*D86/12</f>
        <v>2853.7801100859365</v>
      </c>
      <c r="J89" s="140">
        <f>IF(K88&gt;=(D87*D91),D90,0)</f>
        <v>0</v>
      </c>
      <c r="K89" s="140">
        <f t="shared" si="6"/>
        <v>547085.25804402737</v>
      </c>
      <c r="L89" s="141">
        <v>0</v>
      </c>
      <c r="M89" s="5"/>
    </row>
    <row r="90" spans="1:26" ht="15.75" customHeight="1" x14ac:dyDescent="0.25">
      <c r="B90" s="14"/>
      <c r="C90" s="142" t="s">
        <v>32</v>
      </c>
      <c r="D90" s="146" t="str">
        <f t="shared" si="7"/>
        <v/>
      </c>
      <c r="E90" s="147"/>
      <c r="F90" s="54">
        <v>77</v>
      </c>
      <c r="G90" s="140">
        <f t="shared" si="5"/>
        <v>3694.3032025583493</v>
      </c>
      <c r="H90" s="140">
        <f t="shared" si="4"/>
        <v>844.90081691237356</v>
      </c>
      <c r="I90" s="140">
        <f>K89*D86/12</f>
        <v>2849.4023856459758</v>
      </c>
      <c r="J90" s="140">
        <f>IF(K89&gt;=(D87*D91),D90,0)</f>
        <v>0</v>
      </c>
      <c r="K90" s="140">
        <f t="shared" si="6"/>
        <v>546240.35722711496</v>
      </c>
      <c r="L90" s="141">
        <v>0</v>
      </c>
      <c r="M90" s="5"/>
    </row>
    <row r="91" spans="1:26" ht="15.75" customHeight="1" x14ac:dyDescent="0.25">
      <c r="B91" s="14"/>
      <c r="C91" s="148" t="s">
        <v>113</v>
      </c>
      <c r="D91" s="149">
        <f t="shared" si="7"/>
        <v>0.8</v>
      </c>
      <c r="E91" s="150"/>
      <c r="F91" s="41">
        <v>78</v>
      </c>
      <c r="G91" s="153">
        <f t="shared" si="5"/>
        <v>3694.3032025583493</v>
      </c>
      <c r="H91" s="153">
        <f t="shared" si="4"/>
        <v>849.30134200045904</v>
      </c>
      <c r="I91" s="153">
        <f>K90*D86/12</f>
        <v>2845.0018605578903</v>
      </c>
      <c r="J91" s="153">
        <f>IF(K90&gt;=(D87*D91),D90,0)</f>
        <v>0</v>
      </c>
      <c r="K91" s="153">
        <f t="shared" si="6"/>
        <v>545391.05588511447</v>
      </c>
      <c r="L91" s="154">
        <v>0</v>
      </c>
      <c r="M91" s="5"/>
    </row>
    <row r="92" spans="1:26" ht="11.25" customHeight="1" x14ac:dyDescent="0.25">
      <c r="B92" s="62"/>
      <c r="C92" s="155"/>
      <c r="D92" s="165"/>
      <c r="E92" s="165"/>
      <c r="F92" s="166"/>
      <c r="G92" s="157"/>
      <c r="H92" s="157"/>
      <c r="I92" s="157"/>
      <c r="J92" s="157"/>
      <c r="K92" s="157"/>
      <c r="L92" s="158"/>
      <c r="M92" s="64"/>
    </row>
    <row r="93" spans="1:26" ht="11.25" customHeight="1" x14ac:dyDescent="0.25">
      <c r="C93" s="120"/>
      <c r="D93" s="120"/>
      <c r="E93" s="120"/>
      <c r="F93" s="159"/>
      <c r="G93" s="140"/>
      <c r="H93" s="140"/>
      <c r="I93" s="140"/>
      <c r="J93" s="140"/>
      <c r="K93" s="140"/>
      <c r="L93" s="56"/>
    </row>
    <row r="94" spans="1:26" ht="11.25" customHeight="1" x14ac:dyDescent="0.25">
      <c r="B94" s="1"/>
      <c r="C94" s="160"/>
      <c r="D94" s="121"/>
      <c r="E94" s="121"/>
      <c r="F94" s="121"/>
      <c r="G94" s="121"/>
      <c r="H94" s="121"/>
      <c r="I94" s="121"/>
      <c r="J94" s="121"/>
      <c r="K94" s="121"/>
      <c r="L94" s="161"/>
      <c r="M94" s="3"/>
    </row>
    <row r="95" spans="1:26" ht="22.5" customHeight="1" x14ac:dyDescent="0.25">
      <c r="A95" s="129"/>
      <c r="B95" s="130"/>
      <c r="C95" s="131"/>
      <c r="D95" s="131"/>
      <c r="E95" s="131"/>
      <c r="F95" s="132" t="s">
        <v>103</v>
      </c>
      <c r="G95" s="133" t="s">
        <v>104</v>
      </c>
      <c r="H95" s="133" t="s">
        <v>105</v>
      </c>
      <c r="I95" s="133" t="s">
        <v>106</v>
      </c>
      <c r="J95" s="133" t="s">
        <v>107</v>
      </c>
      <c r="K95" s="133" t="s">
        <v>108</v>
      </c>
      <c r="L95" s="134" t="s">
        <v>109</v>
      </c>
      <c r="M95" s="135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spans="1:26" ht="11.25" customHeight="1" x14ac:dyDescent="0.25">
      <c r="B96" s="14"/>
      <c r="C96" s="123"/>
      <c r="D96" s="123"/>
      <c r="E96" s="123"/>
      <c r="F96" s="75"/>
      <c r="G96" s="76"/>
      <c r="H96" s="76"/>
      <c r="I96" s="76"/>
      <c r="J96" s="76"/>
      <c r="K96" s="76"/>
      <c r="L96" s="136"/>
      <c r="M96" s="5"/>
    </row>
    <row r="97" spans="2:13" ht="15.75" customHeight="1" x14ac:dyDescent="0.25">
      <c r="B97" s="14"/>
      <c r="C97" s="123"/>
      <c r="D97" s="123"/>
      <c r="E97" s="123"/>
      <c r="F97" s="54">
        <v>79</v>
      </c>
      <c r="G97" s="140">
        <f>IF(K91=0,0,G91)</f>
        <v>3694.3032025583493</v>
      </c>
      <c r="H97" s="140">
        <f t="shared" ref="H97:H138" si="8">G97-I97</f>
        <v>853.72478649004461</v>
      </c>
      <c r="I97" s="140">
        <f>K91*D86/12</f>
        <v>2840.5784160683047</v>
      </c>
      <c r="J97" s="140">
        <f>IF(K91&gt;=(D87*D91),D90,0)</f>
        <v>0</v>
      </c>
      <c r="K97" s="140">
        <f>IF(K91-H97-L97&gt;0,K91-H97-L97,0)</f>
        <v>544537.33109862439</v>
      </c>
      <c r="L97" s="141">
        <v>0</v>
      </c>
      <c r="M97" s="5"/>
    </row>
    <row r="98" spans="2:13" ht="15.75" customHeight="1" x14ac:dyDescent="0.25">
      <c r="B98" s="14"/>
      <c r="C98" s="123"/>
      <c r="D98" s="123"/>
      <c r="E98" s="123"/>
      <c r="F98" s="54">
        <v>80</v>
      </c>
      <c r="G98" s="140">
        <f t="shared" ref="G98:G138" si="9">IF(K97=0,0,G97)</f>
        <v>3694.3032025583493</v>
      </c>
      <c r="H98" s="140">
        <f t="shared" si="8"/>
        <v>858.1712697530138</v>
      </c>
      <c r="I98" s="140">
        <f>K97*D86/12</f>
        <v>2836.1319328053355</v>
      </c>
      <c r="J98" s="140">
        <f>IF(K97&gt;=(D87*D91),D90,0)</f>
        <v>0</v>
      </c>
      <c r="K98" s="140">
        <f t="shared" ref="K98:K138" si="10">IF(K97-H98-L98&gt;0,K97-H98-L98,)</f>
        <v>543679.15982887137</v>
      </c>
      <c r="L98" s="141">
        <v>0</v>
      </c>
      <c r="M98" s="5"/>
    </row>
    <row r="99" spans="2:13" ht="15.75" customHeight="1" x14ac:dyDescent="0.25">
      <c r="B99" s="14"/>
      <c r="C99" s="123"/>
      <c r="D99" s="123"/>
      <c r="E99" s="123"/>
      <c r="F99" s="54">
        <v>81</v>
      </c>
      <c r="G99" s="140">
        <f t="shared" si="9"/>
        <v>3694.3032025583493</v>
      </c>
      <c r="H99" s="140">
        <f t="shared" si="8"/>
        <v>862.64091178297758</v>
      </c>
      <c r="I99" s="140">
        <f>K98*D86/12</f>
        <v>2831.6622907753717</v>
      </c>
      <c r="J99" s="140">
        <f>IF(K98&gt;=(D87*D91),D90,0)</f>
        <v>0</v>
      </c>
      <c r="K99" s="140">
        <f t="shared" si="10"/>
        <v>542816.5189170884</v>
      </c>
      <c r="L99" s="141">
        <v>0</v>
      </c>
      <c r="M99" s="5"/>
    </row>
    <row r="100" spans="2:13" ht="15.75" customHeight="1" x14ac:dyDescent="0.25">
      <c r="B100" s="14"/>
      <c r="C100" s="147"/>
      <c r="D100" s="123"/>
      <c r="E100" s="123"/>
      <c r="F100" s="54">
        <v>82</v>
      </c>
      <c r="G100" s="140">
        <f t="shared" si="9"/>
        <v>3694.3032025583493</v>
      </c>
      <c r="H100" s="140">
        <f t="shared" si="8"/>
        <v>867.13383319851391</v>
      </c>
      <c r="I100" s="140">
        <f>K99*D86/12</f>
        <v>2827.1693693598354</v>
      </c>
      <c r="J100" s="140">
        <f>IF(K99&gt;=(D87*D91),D90,0)</f>
        <v>0</v>
      </c>
      <c r="K100" s="140">
        <f t="shared" si="10"/>
        <v>541949.38508388994</v>
      </c>
      <c r="L100" s="141">
        <v>0</v>
      </c>
      <c r="M100" s="5"/>
    </row>
    <row r="101" spans="2:13" ht="15.75" customHeight="1" x14ac:dyDescent="0.25">
      <c r="B101" s="14"/>
      <c r="C101" s="123"/>
      <c r="D101" s="123"/>
      <c r="E101" s="123"/>
      <c r="F101" s="54">
        <v>83</v>
      </c>
      <c r="G101" s="140">
        <f t="shared" si="9"/>
        <v>3694.3032025583493</v>
      </c>
      <c r="H101" s="140">
        <f t="shared" si="8"/>
        <v>871.6501552464224</v>
      </c>
      <c r="I101" s="140">
        <f>K100*D86/12</f>
        <v>2822.6530473119269</v>
      </c>
      <c r="J101" s="140">
        <f>IF(K100&gt;=(D87*D91),D90,0)</f>
        <v>0</v>
      </c>
      <c r="K101" s="140">
        <f t="shared" si="10"/>
        <v>541077.73492864356</v>
      </c>
      <c r="L101" s="141">
        <v>0</v>
      </c>
      <c r="M101" s="5"/>
    </row>
    <row r="102" spans="2:13" ht="15.75" customHeight="1" x14ac:dyDescent="0.25">
      <c r="B102" s="14"/>
      <c r="C102" s="123"/>
      <c r="D102" s="123"/>
      <c r="E102" s="123"/>
      <c r="F102" s="151">
        <v>84</v>
      </c>
      <c r="G102" s="140">
        <f t="shared" si="9"/>
        <v>3694.3032025583493</v>
      </c>
      <c r="H102" s="140">
        <f t="shared" si="8"/>
        <v>876.18999980499757</v>
      </c>
      <c r="I102" s="140">
        <f>K101*D86/12</f>
        <v>2818.1132027533517</v>
      </c>
      <c r="J102" s="140">
        <f>IF(K101&gt;=(D87*D91),D90,0)</f>
        <v>0</v>
      </c>
      <c r="K102" s="140">
        <f t="shared" si="10"/>
        <v>540201.54492883862</v>
      </c>
      <c r="L102" s="141">
        <v>0</v>
      </c>
      <c r="M102" s="5"/>
    </row>
    <row r="103" spans="2:13" ht="15.75" customHeight="1" x14ac:dyDescent="0.25">
      <c r="B103" s="14"/>
      <c r="C103" s="123"/>
      <c r="D103" s="123"/>
      <c r="E103" s="123"/>
      <c r="F103" s="54">
        <v>85</v>
      </c>
      <c r="G103" s="140">
        <f t="shared" si="9"/>
        <v>3694.3032025583493</v>
      </c>
      <c r="H103" s="140">
        <f t="shared" si="8"/>
        <v>880.75348938731486</v>
      </c>
      <c r="I103" s="140">
        <f>K102*D86/12</f>
        <v>2813.5497131710345</v>
      </c>
      <c r="J103" s="140">
        <f>IF(K102&gt;=(D87*D91),D90,0)</f>
        <v>0</v>
      </c>
      <c r="K103" s="140">
        <f t="shared" si="10"/>
        <v>539320.79143945128</v>
      </c>
      <c r="L103" s="141">
        <v>0</v>
      </c>
      <c r="M103" s="5"/>
    </row>
    <row r="104" spans="2:13" ht="15.75" customHeight="1" x14ac:dyDescent="0.25">
      <c r="B104" s="14"/>
      <c r="C104" s="123"/>
      <c r="D104" s="123"/>
      <c r="E104" s="123"/>
      <c r="F104" s="54">
        <v>86</v>
      </c>
      <c r="G104" s="140">
        <f t="shared" si="9"/>
        <v>3694.3032025583493</v>
      </c>
      <c r="H104" s="140">
        <f t="shared" si="8"/>
        <v>885.34074714454073</v>
      </c>
      <c r="I104" s="140">
        <f>K103*D86/12</f>
        <v>2808.9624554138086</v>
      </c>
      <c r="J104" s="140">
        <f>IF(K103&gt;=(D87*D91),D90,0)</f>
        <v>0</v>
      </c>
      <c r="K104" s="140">
        <f t="shared" si="10"/>
        <v>538435.45069230674</v>
      </c>
      <c r="L104" s="141">
        <v>0</v>
      </c>
      <c r="M104" s="5"/>
    </row>
    <row r="105" spans="2:13" ht="15.75" customHeight="1" x14ac:dyDescent="0.25">
      <c r="B105" s="14"/>
      <c r="C105" s="123"/>
      <c r="D105" s="123"/>
      <c r="E105" s="123"/>
      <c r="F105" s="54">
        <v>87</v>
      </c>
      <c r="G105" s="140">
        <f t="shared" si="9"/>
        <v>3694.3032025583493</v>
      </c>
      <c r="H105" s="140">
        <f t="shared" si="8"/>
        <v>889.95189686925187</v>
      </c>
      <c r="I105" s="140">
        <f>K104*D86/12</f>
        <v>2804.3513056890974</v>
      </c>
      <c r="J105" s="140">
        <f>IF(K104&gt;=(D87*D91),D90,0)</f>
        <v>0</v>
      </c>
      <c r="K105" s="140">
        <f t="shared" si="10"/>
        <v>537545.49879543751</v>
      </c>
      <c r="L105" s="141">
        <v>0</v>
      </c>
      <c r="M105" s="5"/>
    </row>
    <row r="106" spans="2:13" ht="15.75" customHeight="1" x14ac:dyDescent="0.25">
      <c r="B106" s="14"/>
      <c r="C106" s="123"/>
      <c r="D106" s="123"/>
      <c r="E106" s="123"/>
      <c r="F106" s="54">
        <v>88</v>
      </c>
      <c r="G106" s="140">
        <f t="shared" si="9"/>
        <v>3694.3032025583493</v>
      </c>
      <c r="H106" s="140">
        <f t="shared" si="8"/>
        <v>894.58706299877895</v>
      </c>
      <c r="I106" s="140">
        <f>K105*D86/12</f>
        <v>2799.7161395595704</v>
      </c>
      <c r="J106" s="140">
        <f>IF(K105&gt;=(D87*D91),D90,0)</f>
        <v>0</v>
      </c>
      <c r="K106" s="140">
        <f t="shared" si="10"/>
        <v>536650.91173243872</v>
      </c>
      <c r="L106" s="141">
        <v>0</v>
      </c>
      <c r="M106" s="5"/>
    </row>
    <row r="107" spans="2:13" ht="15.75" customHeight="1" x14ac:dyDescent="0.25">
      <c r="B107" s="14"/>
      <c r="C107" s="123"/>
      <c r="D107" s="123"/>
      <c r="E107" s="123"/>
      <c r="F107" s="54">
        <v>89</v>
      </c>
      <c r="G107" s="140">
        <f t="shared" si="9"/>
        <v>3694.3032025583493</v>
      </c>
      <c r="H107" s="140">
        <f t="shared" si="8"/>
        <v>899.24637061856447</v>
      </c>
      <c r="I107" s="140">
        <f>K106*D86/12</f>
        <v>2795.0568319397848</v>
      </c>
      <c r="J107" s="140">
        <f>IF(K106&gt;=(D87*D91),D90,0)</f>
        <v>0</v>
      </c>
      <c r="K107" s="140">
        <f t="shared" si="10"/>
        <v>535751.66536182014</v>
      </c>
      <c r="L107" s="141">
        <v>0</v>
      </c>
      <c r="M107" s="5"/>
    </row>
    <row r="108" spans="2:13" ht="15.75" customHeight="1" x14ac:dyDescent="0.25">
      <c r="B108" s="14"/>
      <c r="C108" s="123"/>
      <c r="D108" s="123"/>
      <c r="E108" s="123"/>
      <c r="F108" s="54">
        <v>90</v>
      </c>
      <c r="G108" s="140">
        <f t="shared" si="9"/>
        <v>3694.3032025583493</v>
      </c>
      <c r="H108" s="140">
        <f t="shared" si="8"/>
        <v>903.92994546553609</v>
      </c>
      <c r="I108" s="140">
        <f>K107*D86/12</f>
        <v>2790.3732570928132</v>
      </c>
      <c r="J108" s="140">
        <f>IF(K107&gt;=(D87*D91),D90,0)</f>
        <v>0</v>
      </c>
      <c r="K108" s="140">
        <f t="shared" si="10"/>
        <v>534847.73541635461</v>
      </c>
      <c r="L108" s="141">
        <v>0</v>
      </c>
      <c r="M108" s="5"/>
    </row>
    <row r="109" spans="2:13" ht="15.75" customHeight="1" x14ac:dyDescent="0.25">
      <c r="B109" s="14"/>
      <c r="C109" s="123"/>
      <c r="D109" s="123"/>
      <c r="E109" s="123"/>
      <c r="F109" s="54">
        <v>91</v>
      </c>
      <c r="G109" s="140">
        <f t="shared" si="9"/>
        <v>3694.3032025583493</v>
      </c>
      <c r="H109" s="140">
        <f t="shared" si="8"/>
        <v>908.63791393150223</v>
      </c>
      <c r="I109" s="140">
        <f>K108*D86/12</f>
        <v>2785.6652886268471</v>
      </c>
      <c r="J109" s="140">
        <f>IF(K108&gt;=(D87*D91),D90,0)</f>
        <v>0</v>
      </c>
      <c r="K109" s="140">
        <f t="shared" si="10"/>
        <v>533939.0975024231</v>
      </c>
      <c r="L109" s="141">
        <v>0</v>
      </c>
      <c r="M109" s="5"/>
    </row>
    <row r="110" spans="2:13" ht="15.75" customHeight="1" x14ac:dyDescent="0.25">
      <c r="B110" s="14"/>
      <c r="C110" s="123"/>
      <c r="D110" s="123"/>
      <c r="E110" s="123"/>
      <c r="F110" s="54">
        <v>92</v>
      </c>
      <c r="G110" s="140">
        <f t="shared" si="9"/>
        <v>3694.3032025583493</v>
      </c>
      <c r="H110" s="140">
        <f t="shared" si="8"/>
        <v>913.37040306656218</v>
      </c>
      <c r="I110" s="140">
        <f>K109*D86/12</f>
        <v>2780.9327994917871</v>
      </c>
      <c r="J110" s="140">
        <f>IF(K109&gt;=(D87*D91),D90,0)</f>
        <v>0</v>
      </c>
      <c r="K110" s="140">
        <f t="shared" si="10"/>
        <v>533025.72709935659</v>
      </c>
      <c r="L110" s="141">
        <v>0</v>
      </c>
      <c r="M110" s="5"/>
    </row>
    <row r="111" spans="2:13" ht="15.75" customHeight="1" x14ac:dyDescent="0.25">
      <c r="B111" s="14"/>
      <c r="C111" s="123"/>
      <c r="D111" s="123"/>
      <c r="E111" s="123"/>
      <c r="F111" s="54">
        <v>93</v>
      </c>
      <c r="G111" s="140">
        <f t="shared" si="9"/>
        <v>3694.3032025583493</v>
      </c>
      <c r="H111" s="140">
        <f t="shared" si="8"/>
        <v>918.12754058253358</v>
      </c>
      <c r="I111" s="140">
        <f>K110*D86/12</f>
        <v>2776.1756619758157</v>
      </c>
      <c r="J111" s="140">
        <f>IF(K110&gt;=(D87*D91),D90,0)</f>
        <v>0</v>
      </c>
      <c r="K111" s="140">
        <f t="shared" si="10"/>
        <v>532107.59955877403</v>
      </c>
      <c r="L111" s="141">
        <v>0</v>
      </c>
      <c r="M111" s="5"/>
    </row>
    <row r="112" spans="2:13" ht="15.75" customHeight="1" x14ac:dyDescent="0.25">
      <c r="B112" s="14"/>
      <c r="C112" s="123"/>
      <c r="D112" s="123"/>
      <c r="E112" s="123"/>
      <c r="F112" s="54">
        <v>94</v>
      </c>
      <c r="G112" s="140">
        <f t="shared" si="9"/>
        <v>3694.3032025583493</v>
      </c>
      <c r="H112" s="140">
        <f t="shared" si="8"/>
        <v>922.90945485640123</v>
      </c>
      <c r="I112" s="140">
        <f>K111*D86/12</f>
        <v>2771.3937477019481</v>
      </c>
      <c r="J112" s="140">
        <f>IF(K111&gt;=(D87*D91),D90,0)</f>
        <v>0</v>
      </c>
      <c r="K112" s="140">
        <f t="shared" si="10"/>
        <v>531184.69010391762</v>
      </c>
      <c r="L112" s="141">
        <v>0</v>
      </c>
      <c r="M112" s="5"/>
    </row>
    <row r="113" spans="2:13" ht="15.75" customHeight="1" x14ac:dyDescent="0.25">
      <c r="B113" s="14"/>
      <c r="C113" s="123"/>
      <c r="D113" s="123"/>
      <c r="E113" s="123"/>
      <c r="F113" s="54">
        <v>95</v>
      </c>
      <c r="G113" s="140">
        <f t="shared" si="9"/>
        <v>3694.3032025583493</v>
      </c>
      <c r="H113" s="140">
        <f t="shared" si="8"/>
        <v>927.71627493377855</v>
      </c>
      <c r="I113" s="140">
        <f>K112*D86/12</f>
        <v>2766.5869276245708</v>
      </c>
      <c r="J113" s="140">
        <f>IF(K112&gt;=(D87*D91),D90,0)</f>
        <v>0</v>
      </c>
      <c r="K113" s="140">
        <f t="shared" si="10"/>
        <v>530256.97382898384</v>
      </c>
      <c r="L113" s="141">
        <v>0</v>
      </c>
      <c r="M113" s="5"/>
    </row>
    <row r="114" spans="2:13" ht="15.75" customHeight="1" x14ac:dyDescent="0.25">
      <c r="B114" s="14"/>
      <c r="C114" s="123"/>
      <c r="D114" s="123"/>
      <c r="E114" s="123"/>
      <c r="F114" s="151">
        <v>96</v>
      </c>
      <c r="G114" s="140">
        <f t="shared" si="9"/>
        <v>3694.3032025583493</v>
      </c>
      <c r="H114" s="140">
        <f t="shared" si="8"/>
        <v>932.54813053239195</v>
      </c>
      <c r="I114" s="140">
        <f>K113*D86/12</f>
        <v>2761.7550720259574</v>
      </c>
      <c r="J114" s="140">
        <f>IF(K113&gt;=(D87*D91),D90,0)</f>
        <v>0</v>
      </c>
      <c r="K114" s="140">
        <f t="shared" si="10"/>
        <v>529324.42569845146</v>
      </c>
      <c r="L114" s="141">
        <v>0</v>
      </c>
      <c r="M114" s="5"/>
    </row>
    <row r="115" spans="2:13" ht="15.75" customHeight="1" x14ac:dyDescent="0.25">
      <c r="B115" s="14"/>
      <c r="C115" s="123"/>
      <c r="D115" s="123"/>
      <c r="E115" s="123"/>
      <c r="F115" s="54">
        <v>97</v>
      </c>
      <c r="G115" s="140">
        <f t="shared" si="9"/>
        <v>3694.3032025583493</v>
      </c>
      <c r="H115" s="140">
        <f t="shared" si="8"/>
        <v>937.40515204558142</v>
      </c>
      <c r="I115" s="140">
        <f>K114*D86/12</f>
        <v>2756.8980505127679</v>
      </c>
      <c r="J115" s="140">
        <f>IF(K114&gt;=(D87*D91),D90,0)</f>
        <v>0</v>
      </c>
      <c r="K115" s="140">
        <f t="shared" si="10"/>
        <v>528387.02054640593</v>
      </c>
      <c r="L115" s="141">
        <v>0</v>
      </c>
      <c r="M115" s="5"/>
    </row>
    <row r="116" spans="2:13" ht="15.75" customHeight="1" x14ac:dyDescent="0.25">
      <c r="B116" s="14"/>
      <c r="C116" s="123"/>
      <c r="D116" s="123"/>
      <c r="E116" s="123"/>
      <c r="F116" s="54">
        <v>98</v>
      </c>
      <c r="G116" s="140">
        <f t="shared" si="9"/>
        <v>3694.3032025583493</v>
      </c>
      <c r="H116" s="140">
        <f t="shared" si="8"/>
        <v>942.28747054581845</v>
      </c>
      <c r="I116" s="140">
        <f>K115*D86/12</f>
        <v>2752.0157320125309</v>
      </c>
      <c r="J116" s="140">
        <f>IF(K115&gt;=(D87*D91),D90,0)</f>
        <v>0</v>
      </c>
      <c r="K116" s="140">
        <f t="shared" si="10"/>
        <v>527444.73307586007</v>
      </c>
      <c r="L116" s="141">
        <v>0</v>
      </c>
      <c r="M116" s="5"/>
    </row>
    <row r="117" spans="2:13" ht="15.75" customHeight="1" x14ac:dyDescent="0.25">
      <c r="B117" s="14"/>
      <c r="C117" s="123"/>
      <c r="D117" s="123"/>
      <c r="E117" s="123"/>
      <c r="F117" s="54">
        <v>99</v>
      </c>
      <c r="G117" s="140">
        <f t="shared" si="9"/>
        <v>3694.3032025583493</v>
      </c>
      <c r="H117" s="140">
        <f t="shared" si="8"/>
        <v>947.19521778824492</v>
      </c>
      <c r="I117" s="140">
        <f>K116*D86/12</f>
        <v>2747.1079847701044</v>
      </c>
      <c r="J117" s="140">
        <f>IF(K116&gt;=(D87*D91),D90,0)</f>
        <v>0</v>
      </c>
      <c r="K117" s="140">
        <f t="shared" si="10"/>
        <v>526497.53785807185</v>
      </c>
      <c r="L117" s="141">
        <v>0</v>
      </c>
      <c r="M117" s="5"/>
    </row>
    <row r="118" spans="2:13" ht="15.75" customHeight="1" x14ac:dyDescent="0.25">
      <c r="B118" s="14"/>
      <c r="C118" s="123"/>
      <c r="D118" s="123"/>
      <c r="E118" s="123"/>
      <c r="F118" s="54">
        <v>100</v>
      </c>
      <c r="G118" s="140">
        <f t="shared" si="9"/>
        <v>3694.3032025583493</v>
      </c>
      <c r="H118" s="140">
        <f t="shared" si="8"/>
        <v>952.12852621422508</v>
      </c>
      <c r="I118" s="140">
        <f>K117*D86/12</f>
        <v>2742.1746763441242</v>
      </c>
      <c r="J118" s="140">
        <f>IF(K117&gt;=(D87*D91),D90,0)</f>
        <v>0</v>
      </c>
      <c r="K118" s="140">
        <f t="shared" si="10"/>
        <v>525545.40933185758</v>
      </c>
      <c r="L118" s="141">
        <v>0</v>
      </c>
      <c r="M118" s="5"/>
    </row>
    <row r="119" spans="2:13" ht="15.75" customHeight="1" x14ac:dyDescent="0.25">
      <c r="B119" s="14"/>
      <c r="C119" s="123"/>
      <c r="D119" s="123"/>
      <c r="E119" s="123"/>
      <c r="F119" s="54">
        <v>101</v>
      </c>
      <c r="G119" s="140">
        <f t="shared" si="9"/>
        <v>3694.3032025583493</v>
      </c>
      <c r="H119" s="140">
        <f t="shared" si="8"/>
        <v>957.08752895492444</v>
      </c>
      <c r="I119" s="140">
        <f>K118*D86/12</f>
        <v>2737.2156736034249</v>
      </c>
      <c r="J119" s="140">
        <f>IF(K118&gt;=(D87*D91),D90,0)</f>
        <v>0</v>
      </c>
      <c r="K119" s="140">
        <f t="shared" si="10"/>
        <v>524588.32180290262</v>
      </c>
      <c r="L119" s="141">
        <v>0</v>
      </c>
      <c r="M119" s="5"/>
    </row>
    <row r="120" spans="2:13" ht="15.75" customHeight="1" x14ac:dyDescent="0.25">
      <c r="B120" s="14"/>
      <c r="C120" s="123"/>
      <c r="D120" s="123"/>
      <c r="E120" s="123"/>
      <c r="F120" s="54">
        <v>102</v>
      </c>
      <c r="G120" s="140">
        <f t="shared" si="9"/>
        <v>3694.3032025583493</v>
      </c>
      <c r="H120" s="140">
        <f t="shared" si="8"/>
        <v>962.07235983489818</v>
      </c>
      <c r="I120" s="140">
        <f>K119*D86/12</f>
        <v>2732.2308427234511</v>
      </c>
      <c r="J120" s="140">
        <f>IF(K119&gt;=(D87*D91),D90,0)</f>
        <v>0</v>
      </c>
      <c r="K120" s="140">
        <f t="shared" si="10"/>
        <v>523626.2494430677</v>
      </c>
      <c r="L120" s="141">
        <v>0</v>
      </c>
      <c r="M120" s="5"/>
    </row>
    <row r="121" spans="2:13" ht="15.75" customHeight="1" x14ac:dyDescent="0.25">
      <c r="B121" s="14"/>
      <c r="C121" s="123"/>
      <c r="D121" s="123"/>
      <c r="E121" s="123"/>
      <c r="F121" s="54">
        <v>103</v>
      </c>
      <c r="G121" s="140">
        <f t="shared" si="9"/>
        <v>3694.3032025583493</v>
      </c>
      <c r="H121" s="140">
        <f t="shared" si="8"/>
        <v>967.08315337570502</v>
      </c>
      <c r="I121" s="140">
        <f>K120*D86/12</f>
        <v>2727.2200491826443</v>
      </c>
      <c r="J121" s="140">
        <f>IF(K120&gt;=(D87*D91),D90,0)</f>
        <v>0</v>
      </c>
      <c r="K121" s="140">
        <f t="shared" si="10"/>
        <v>522659.16628969199</v>
      </c>
      <c r="L121" s="141">
        <v>0</v>
      </c>
      <c r="M121" s="5"/>
    </row>
    <row r="122" spans="2:13" ht="15.75" customHeight="1" x14ac:dyDescent="0.25">
      <c r="B122" s="14"/>
      <c r="C122" s="123"/>
      <c r="D122" s="123"/>
      <c r="E122" s="123"/>
      <c r="F122" s="54">
        <v>104</v>
      </c>
      <c r="G122" s="140">
        <f t="shared" si="9"/>
        <v>3694.3032025583493</v>
      </c>
      <c r="H122" s="140">
        <f t="shared" si="8"/>
        <v>972.12004479953703</v>
      </c>
      <c r="I122" s="140">
        <f>K121*D86/12</f>
        <v>2722.1831577588123</v>
      </c>
      <c r="J122" s="140">
        <f>IF(K121&gt;=(D87*D91),D90,0)</f>
        <v>0</v>
      </c>
      <c r="K122" s="140">
        <f t="shared" si="10"/>
        <v>521687.04624489247</v>
      </c>
      <c r="L122" s="141">
        <v>0</v>
      </c>
      <c r="M122" s="5"/>
    </row>
    <row r="123" spans="2:13" ht="15.75" customHeight="1" x14ac:dyDescent="0.25">
      <c r="B123" s="14"/>
      <c r="C123" s="123"/>
      <c r="D123" s="123"/>
      <c r="E123" s="123"/>
      <c r="F123" s="54">
        <v>105</v>
      </c>
      <c r="G123" s="140">
        <f t="shared" si="9"/>
        <v>3694.3032025583493</v>
      </c>
      <c r="H123" s="140">
        <f t="shared" si="8"/>
        <v>977.18317003286757</v>
      </c>
      <c r="I123" s="140">
        <f>K122*D86/12</f>
        <v>2717.1200325254817</v>
      </c>
      <c r="J123" s="140">
        <f>IF(K122&gt;=(D87*D91),D90,0)</f>
        <v>0</v>
      </c>
      <c r="K123" s="140">
        <f t="shared" si="10"/>
        <v>520709.8630748596</v>
      </c>
      <c r="L123" s="141">
        <v>0</v>
      </c>
      <c r="M123" s="5"/>
    </row>
    <row r="124" spans="2:13" ht="15.75" customHeight="1" x14ac:dyDescent="0.25">
      <c r="B124" s="14"/>
      <c r="C124" s="123"/>
      <c r="D124" s="123"/>
      <c r="E124" s="123"/>
      <c r="F124" s="54">
        <v>106</v>
      </c>
      <c r="G124" s="140">
        <f t="shared" si="9"/>
        <v>3694.3032025583493</v>
      </c>
      <c r="H124" s="140">
        <f t="shared" si="8"/>
        <v>982.27266571012206</v>
      </c>
      <c r="I124" s="140">
        <f>K123*D86/12</f>
        <v>2712.0305368482273</v>
      </c>
      <c r="J124" s="140">
        <f>IF(K123&gt;=(D87*D91),D90,0)</f>
        <v>0</v>
      </c>
      <c r="K124" s="140">
        <f t="shared" si="10"/>
        <v>519727.59040914947</v>
      </c>
      <c r="L124" s="141">
        <v>0</v>
      </c>
      <c r="M124" s="5"/>
    </row>
    <row r="125" spans="2:13" ht="15.75" customHeight="1" x14ac:dyDescent="0.25">
      <c r="B125" s="14"/>
      <c r="C125" s="123"/>
      <c r="D125" s="123"/>
      <c r="E125" s="123"/>
      <c r="F125" s="54">
        <v>107</v>
      </c>
      <c r="G125" s="140">
        <f t="shared" si="9"/>
        <v>3694.3032025583493</v>
      </c>
      <c r="H125" s="140">
        <f t="shared" si="8"/>
        <v>987.38866917736232</v>
      </c>
      <c r="I125" s="140">
        <f>K124*D86/12</f>
        <v>2706.914533380987</v>
      </c>
      <c r="J125" s="140">
        <f>IF(K124&gt;=(D87*D91),D90,0)</f>
        <v>0</v>
      </c>
      <c r="K125" s="140">
        <f t="shared" si="10"/>
        <v>518740.20173997211</v>
      </c>
      <c r="L125" s="141">
        <v>0</v>
      </c>
      <c r="M125" s="5"/>
    </row>
    <row r="126" spans="2:13" ht="15.75" customHeight="1" x14ac:dyDescent="0.25">
      <c r="B126" s="14"/>
      <c r="C126" s="123"/>
      <c r="D126" s="123"/>
      <c r="E126" s="123"/>
      <c r="F126" s="151">
        <v>108</v>
      </c>
      <c r="G126" s="140">
        <f t="shared" si="9"/>
        <v>3694.3032025583493</v>
      </c>
      <c r="H126" s="140">
        <f t="shared" si="8"/>
        <v>992.53131849599458</v>
      </c>
      <c r="I126" s="140">
        <f>K125*D86/12</f>
        <v>2701.7718840623547</v>
      </c>
      <c r="J126" s="140">
        <f>IF(K125&gt;=(D87*D91),D90,0)</f>
        <v>0</v>
      </c>
      <c r="K126" s="140">
        <f t="shared" si="10"/>
        <v>517747.67042147613</v>
      </c>
      <c r="L126" s="141">
        <v>0</v>
      </c>
      <c r="M126" s="5"/>
    </row>
    <row r="127" spans="2:13" ht="15.75" customHeight="1" x14ac:dyDescent="0.25">
      <c r="B127" s="14"/>
      <c r="C127" s="137" t="s">
        <v>114</v>
      </c>
      <c r="D127" s="138">
        <f t="shared" ref="D127:D132" si="11">D86</f>
        <v>6.25E-2</v>
      </c>
      <c r="E127" s="139"/>
      <c r="F127" s="54">
        <v>109</v>
      </c>
      <c r="G127" s="140">
        <f t="shared" si="9"/>
        <v>3694.3032025583493</v>
      </c>
      <c r="H127" s="140">
        <f t="shared" si="8"/>
        <v>997.70075244649433</v>
      </c>
      <c r="I127" s="140">
        <f>K126*D127/12</f>
        <v>2696.602450111855</v>
      </c>
      <c r="J127" s="140">
        <f>IF(K126&gt;=(D128*D132),D131,0)</f>
        <v>0</v>
      </c>
      <c r="K127" s="140">
        <f t="shared" si="10"/>
        <v>516749.96966902964</v>
      </c>
      <c r="L127" s="141">
        <v>0</v>
      </c>
      <c r="M127" s="5"/>
    </row>
    <row r="128" spans="2:13" ht="15.75" customHeight="1" x14ac:dyDescent="0.25">
      <c r="B128" s="14"/>
      <c r="C128" s="142" t="s">
        <v>3</v>
      </c>
      <c r="D128" s="143">
        <f t="shared" si="11"/>
        <v>750000</v>
      </c>
      <c r="E128" s="144"/>
      <c r="F128" s="54">
        <v>110</v>
      </c>
      <c r="G128" s="140">
        <f t="shared" si="9"/>
        <v>3694.3032025583493</v>
      </c>
      <c r="H128" s="140">
        <f t="shared" si="8"/>
        <v>1002.8971105321534</v>
      </c>
      <c r="I128" s="140">
        <f>K127*D127/12</f>
        <v>2691.4060920261959</v>
      </c>
      <c r="J128" s="140">
        <f>IF(K127&gt;=(D128*D132),D131,0)</f>
        <v>0</v>
      </c>
      <c r="K128" s="140">
        <f t="shared" si="10"/>
        <v>515747.07255849749</v>
      </c>
      <c r="L128" s="141">
        <v>0</v>
      </c>
      <c r="M128" s="5"/>
    </row>
    <row r="129" spans="1:26" ht="15.75" customHeight="1" x14ac:dyDescent="0.25">
      <c r="B129" s="14"/>
      <c r="C129" s="142" t="s">
        <v>111</v>
      </c>
      <c r="D129" s="143">
        <f t="shared" si="11"/>
        <v>600000</v>
      </c>
      <c r="E129" s="144"/>
      <c r="F129" s="54">
        <v>111</v>
      </c>
      <c r="G129" s="140">
        <f t="shared" si="9"/>
        <v>3694.3032025583493</v>
      </c>
      <c r="H129" s="140">
        <f t="shared" si="8"/>
        <v>1008.1205329828417</v>
      </c>
      <c r="I129" s="140">
        <f>K128*D127/12</f>
        <v>2686.1826695755076</v>
      </c>
      <c r="J129" s="140">
        <f>IF(K128&gt;=(D128*D132),D131,0)</f>
        <v>0</v>
      </c>
      <c r="K129" s="140">
        <f t="shared" si="10"/>
        <v>514738.95202551462</v>
      </c>
      <c r="L129" s="141">
        <v>0</v>
      </c>
      <c r="M129" s="5"/>
    </row>
    <row r="130" spans="1:26" ht="15.75" customHeight="1" x14ac:dyDescent="0.25">
      <c r="B130" s="14"/>
      <c r="C130" s="142" t="s">
        <v>112</v>
      </c>
      <c r="D130" s="145">
        <f t="shared" si="11"/>
        <v>360</v>
      </c>
      <c r="E130" s="123"/>
      <c r="F130" s="54">
        <v>112</v>
      </c>
      <c r="G130" s="140">
        <f t="shared" si="9"/>
        <v>3694.3032025583493</v>
      </c>
      <c r="H130" s="140">
        <f t="shared" si="8"/>
        <v>1013.3711607587938</v>
      </c>
      <c r="I130" s="140">
        <f>K129*D127/12</f>
        <v>2680.9320417995555</v>
      </c>
      <c r="J130" s="140">
        <f>IF(K129&gt;=(D128*D132),D131,0)</f>
        <v>0</v>
      </c>
      <c r="K130" s="140">
        <f t="shared" si="10"/>
        <v>513725.58086475584</v>
      </c>
      <c r="L130" s="141">
        <v>0</v>
      </c>
      <c r="M130" s="5"/>
    </row>
    <row r="131" spans="1:26" ht="15.75" customHeight="1" x14ac:dyDescent="0.25">
      <c r="B131" s="14"/>
      <c r="C131" s="142" t="s">
        <v>32</v>
      </c>
      <c r="D131" s="146" t="str">
        <f t="shared" si="11"/>
        <v/>
      </c>
      <c r="E131" s="147"/>
      <c r="F131" s="54">
        <v>113</v>
      </c>
      <c r="G131" s="140">
        <f t="shared" si="9"/>
        <v>3694.3032025583493</v>
      </c>
      <c r="H131" s="140">
        <f t="shared" si="8"/>
        <v>1018.6491355544126</v>
      </c>
      <c r="I131" s="140">
        <f>K130*D127/12</f>
        <v>2675.6540670039367</v>
      </c>
      <c r="J131" s="140">
        <f>IF(K130&gt;=(D128*D132),D131,0)</f>
        <v>0</v>
      </c>
      <c r="K131" s="140">
        <f t="shared" si="10"/>
        <v>512706.93172920146</v>
      </c>
      <c r="L131" s="141">
        <v>0</v>
      </c>
      <c r="M131" s="5"/>
    </row>
    <row r="132" spans="1:26" ht="15.75" customHeight="1" x14ac:dyDescent="0.25">
      <c r="B132" s="14"/>
      <c r="C132" s="148" t="s">
        <v>113</v>
      </c>
      <c r="D132" s="149">
        <f t="shared" si="11"/>
        <v>0.8</v>
      </c>
      <c r="E132" s="150"/>
      <c r="F132" s="54">
        <v>114</v>
      </c>
      <c r="G132" s="140">
        <f t="shared" si="9"/>
        <v>3694.3032025583493</v>
      </c>
      <c r="H132" s="140">
        <f t="shared" si="8"/>
        <v>1023.9545998020917</v>
      </c>
      <c r="I132" s="140">
        <f>K131*D127/12</f>
        <v>2670.3486027562576</v>
      </c>
      <c r="J132" s="140">
        <f>IF(K131&gt;=(D128*D132),D131,0)</f>
        <v>0</v>
      </c>
      <c r="K132" s="140">
        <f t="shared" si="10"/>
        <v>511682.97712939937</v>
      </c>
      <c r="L132" s="141">
        <v>0</v>
      </c>
      <c r="M132" s="5"/>
    </row>
    <row r="133" spans="1:26" ht="15.75" customHeight="1" x14ac:dyDescent="0.25">
      <c r="B133" s="14"/>
      <c r="C133" s="123"/>
      <c r="D133" s="123"/>
      <c r="E133" s="123"/>
      <c r="F133" s="54">
        <v>115</v>
      </c>
      <c r="G133" s="140">
        <f t="shared" si="9"/>
        <v>3694.3032025583493</v>
      </c>
      <c r="H133" s="140">
        <f t="shared" si="8"/>
        <v>1029.2876966760609</v>
      </c>
      <c r="I133" s="140">
        <f>K132*D127/12</f>
        <v>2665.0155058822884</v>
      </c>
      <c r="J133" s="140">
        <f>IF(K132&gt;=(D128*D132),D131,0)</f>
        <v>0</v>
      </c>
      <c r="K133" s="140">
        <f t="shared" si="10"/>
        <v>510653.68943272333</v>
      </c>
      <c r="L133" s="141">
        <v>0</v>
      </c>
      <c r="M133" s="5"/>
    </row>
    <row r="134" spans="1:26" ht="15.75" customHeight="1" x14ac:dyDescent="0.25">
      <c r="B134" s="14"/>
      <c r="C134" s="123"/>
      <c r="D134" s="123"/>
      <c r="E134" s="123"/>
      <c r="F134" s="54">
        <v>116</v>
      </c>
      <c r="G134" s="140">
        <f t="shared" si="9"/>
        <v>3694.3032025583493</v>
      </c>
      <c r="H134" s="140">
        <f t="shared" si="8"/>
        <v>1034.6485700962485</v>
      </c>
      <c r="I134" s="140">
        <f>K133*D127/12</f>
        <v>2659.6546324621008</v>
      </c>
      <c r="J134" s="140">
        <f>IF(K133&gt;=(D128*D132),D131,0)</f>
        <v>0</v>
      </c>
      <c r="K134" s="140">
        <f t="shared" si="10"/>
        <v>509619.04086262709</v>
      </c>
      <c r="L134" s="141">
        <v>0</v>
      </c>
      <c r="M134" s="5"/>
    </row>
    <row r="135" spans="1:26" ht="15.75" customHeight="1" x14ac:dyDescent="0.25">
      <c r="B135" s="14"/>
      <c r="C135" s="123"/>
      <c r="D135" s="123"/>
      <c r="E135" s="123"/>
      <c r="F135" s="54">
        <v>117</v>
      </c>
      <c r="G135" s="140">
        <f t="shared" si="9"/>
        <v>3694.3032025583493</v>
      </c>
      <c r="H135" s="140">
        <f t="shared" si="8"/>
        <v>1040.0373647321667</v>
      </c>
      <c r="I135" s="140">
        <f>K134*D127/12</f>
        <v>2654.2658378261826</v>
      </c>
      <c r="J135" s="140">
        <f>IF(K134&gt;=(D128*D132),D131,0)</f>
        <v>0</v>
      </c>
      <c r="K135" s="140">
        <f t="shared" si="10"/>
        <v>508579.00349789491</v>
      </c>
      <c r="L135" s="141">
        <v>0</v>
      </c>
      <c r="M135" s="5"/>
    </row>
    <row r="136" spans="1:26" ht="15.75" customHeight="1" x14ac:dyDescent="0.25">
      <c r="B136" s="14"/>
      <c r="C136" s="147"/>
      <c r="D136" s="123"/>
      <c r="E136" s="123"/>
      <c r="F136" s="54">
        <v>118</v>
      </c>
      <c r="G136" s="140">
        <f t="shared" si="9"/>
        <v>3694.3032025583493</v>
      </c>
      <c r="H136" s="140">
        <f t="shared" si="8"/>
        <v>1045.4542260068133</v>
      </c>
      <c r="I136" s="140">
        <f>K135*D127/12</f>
        <v>2648.848976551536</v>
      </c>
      <c r="J136" s="140">
        <f>IF(K135&gt;=(D128*D132),D131,0)</f>
        <v>0</v>
      </c>
      <c r="K136" s="140">
        <f t="shared" si="10"/>
        <v>507533.5492718881</v>
      </c>
      <c r="L136" s="141">
        <v>0</v>
      </c>
      <c r="M136" s="5"/>
    </row>
    <row r="137" spans="1:26" ht="15.75" customHeight="1" x14ac:dyDescent="0.25">
      <c r="B137" s="14"/>
      <c r="C137" s="123"/>
      <c r="D137" s="123"/>
      <c r="E137" s="123"/>
      <c r="F137" s="54">
        <v>119</v>
      </c>
      <c r="G137" s="140">
        <f t="shared" si="9"/>
        <v>3694.3032025583493</v>
      </c>
      <c r="H137" s="140">
        <f t="shared" si="8"/>
        <v>1050.8993001005988</v>
      </c>
      <c r="I137" s="140">
        <f>K136*D127/12</f>
        <v>2643.4039024577505</v>
      </c>
      <c r="J137" s="140">
        <f>IF(K136&gt;=(D128*D132),D131,0)</f>
        <v>0</v>
      </c>
      <c r="K137" s="140">
        <f t="shared" si="10"/>
        <v>506482.64997178753</v>
      </c>
      <c r="L137" s="141">
        <v>0</v>
      </c>
      <c r="M137" s="5"/>
    </row>
    <row r="138" spans="1:26" ht="15.75" customHeight="1" x14ac:dyDescent="0.25">
      <c r="B138" s="14"/>
      <c r="C138" s="123"/>
      <c r="D138" s="123"/>
      <c r="E138" s="123"/>
      <c r="F138" s="152">
        <v>120</v>
      </c>
      <c r="G138" s="153">
        <f t="shared" si="9"/>
        <v>3694.3032025583493</v>
      </c>
      <c r="H138" s="153">
        <f t="shared" si="8"/>
        <v>1056.3727339552893</v>
      </c>
      <c r="I138" s="153">
        <f>K137*D127/12</f>
        <v>2637.93046860306</v>
      </c>
      <c r="J138" s="153">
        <f>IF(K137&gt;=(D128*D132),D131,0)</f>
        <v>0</v>
      </c>
      <c r="K138" s="153">
        <f t="shared" si="10"/>
        <v>505426.27723783226</v>
      </c>
      <c r="L138" s="154">
        <v>0</v>
      </c>
      <c r="M138" s="5"/>
    </row>
    <row r="139" spans="1:26" ht="11.25" customHeight="1" x14ac:dyDescent="0.25">
      <c r="B139" s="62"/>
      <c r="C139" s="155"/>
      <c r="D139" s="155"/>
      <c r="E139" s="155"/>
      <c r="F139" s="156"/>
      <c r="G139" s="157"/>
      <c r="H139" s="157"/>
      <c r="I139" s="157"/>
      <c r="J139" s="157"/>
      <c r="K139" s="157"/>
      <c r="L139" s="158"/>
      <c r="M139" s="64"/>
    </row>
    <row r="140" spans="1:26" ht="11.25" customHeight="1" x14ac:dyDescent="0.25">
      <c r="C140" s="120"/>
      <c r="D140" s="120"/>
      <c r="E140" s="120"/>
      <c r="F140" s="159"/>
      <c r="G140" s="140"/>
      <c r="H140" s="140"/>
      <c r="I140" s="140"/>
      <c r="J140" s="140"/>
      <c r="K140" s="140"/>
      <c r="L140" s="56"/>
    </row>
    <row r="141" spans="1:26" ht="11.25" customHeight="1" x14ac:dyDescent="0.25">
      <c r="B141" s="1"/>
      <c r="C141" s="160"/>
      <c r="D141" s="121"/>
      <c r="E141" s="121"/>
      <c r="F141" s="121"/>
      <c r="G141" s="121"/>
      <c r="H141" s="121"/>
      <c r="I141" s="121"/>
      <c r="J141" s="121"/>
      <c r="K141" s="121"/>
      <c r="L141" s="161"/>
      <c r="M141" s="3"/>
    </row>
    <row r="142" spans="1:26" ht="22.5" customHeight="1" x14ac:dyDescent="0.25">
      <c r="A142" s="129"/>
      <c r="B142" s="130"/>
      <c r="C142" s="131"/>
      <c r="D142" s="131"/>
      <c r="E142" s="131"/>
      <c r="F142" s="132" t="s">
        <v>103</v>
      </c>
      <c r="G142" s="133" t="s">
        <v>104</v>
      </c>
      <c r="H142" s="133" t="s">
        <v>105</v>
      </c>
      <c r="I142" s="133" t="s">
        <v>106</v>
      </c>
      <c r="J142" s="133" t="s">
        <v>107</v>
      </c>
      <c r="K142" s="133" t="s">
        <v>108</v>
      </c>
      <c r="L142" s="134" t="s">
        <v>109</v>
      </c>
      <c r="M142" s="135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spans="1:26" ht="11.25" customHeight="1" x14ac:dyDescent="0.25">
      <c r="B143" s="14"/>
      <c r="C143" s="123"/>
      <c r="D143" s="123"/>
      <c r="E143" s="123"/>
      <c r="F143" s="75"/>
      <c r="G143" s="76"/>
      <c r="H143" s="76"/>
      <c r="I143" s="76"/>
      <c r="J143" s="76"/>
      <c r="K143" s="76"/>
      <c r="L143" s="136"/>
      <c r="M143" s="5"/>
    </row>
    <row r="144" spans="1:26" ht="15.75" customHeight="1" x14ac:dyDescent="0.25">
      <c r="B144" s="14"/>
      <c r="C144" s="123"/>
      <c r="D144" s="123"/>
      <c r="E144" s="123"/>
      <c r="F144" s="54">
        <v>121</v>
      </c>
      <c r="G144" s="140">
        <f>IF(K138=0,0,G138)</f>
        <v>3694.3032025583493</v>
      </c>
      <c r="H144" s="140">
        <f t="shared" ref="H144:H185" si="12">G144-I144</f>
        <v>1061.874675277973</v>
      </c>
      <c r="I144" s="140">
        <f>K138*D127/12</f>
        <v>2632.4285272803763</v>
      </c>
      <c r="J144" s="140">
        <f>IF(K138&gt;=(D128*D132),D131,0)</f>
        <v>0</v>
      </c>
      <c r="K144" s="140">
        <f>IF(K138-H144-L144&gt;0,K138-H144-L144,0)</f>
        <v>504364.40256255429</v>
      </c>
      <c r="L144" s="141">
        <v>0</v>
      </c>
      <c r="M144" s="5"/>
    </row>
    <row r="145" spans="2:13" ht="15.75" customHeight="1" x14ac:dyDescent="0.25">
      <c r="B145" s="14"/>
      <c r="C145" s="123"/>
      <c r="D145" s="123"/>
      <c r="E145" s="123"/>
      <c r="F145" s="54">
        <v>122</v>
      </c>
      <c r="G145" s="140">
        <f t="shared" ref="G145:G185" si="13">IF(K144=0,0,G144)</f>
        <v>3694.3032025583493</v>
      </c>
      <c r="H145" s="140">
        <f t="shared" si="12"/>
        <v>1067.4052725450456</v>
      </c>
      <c r="I145" s="140">
        <f>K144*D127/12</f>
        <v>2626.8979300133037</v>
      </c>
      <c r="J145" s="140">
        <f>IF(K144&gt;=(D128*D132),D131,0)</f>
        <v>0</v>
      </c>
      <c r="K145" s="140">
        <f t="shared" ref="K145:K185" si="14">IF(K144-H145-L145&gt;0,K144-H145-L145,)</f>
        <v>503296.99729000923</v>
      </c>
      <c r="L145" s="141">
        <v>0</v>
      </c>
      <c r="M145" s="5"/>
    </row>
    <row r="146" spans="2:13" ht="15.75" customHeight="1" x14ac:dyDescent="0.25">
      <c r="B146" s="14"/>
      <c r="C146" s="123"/>
      <c r="D146" s="123"/>
      <c r="E146" s="123"/>
      <c r="F146" s="54">
        <v>123</v>
      </c>
      <c r="G146" s="140">
        <f t="shared" si="13"/>
        <v>3694.3032025583493</v>
      </c>
      <c r="H146" s="140">
        <f t="shared" si="12"/>
        <v>1072.9646750062179</v>
      </c>
      <c r="I146" s="140">
        <f>K145*D127/12</f>
        <v>2621.3385275521314</v>
      </c>
      <c r="J146" s="140">
        <f>IF(K145&gt;=(D128*D132),D131,0)</f>
        <v>0</v>
      </c>
      <c r="K146" s="140">
        <f t="shared" si="14"/>
        <v>502224.032615003</v>
      </c>
      <c r="L146" s="141">
        <v>0</v>
      </c>
      <c r="M146" s="5"/>
    </row>
    <row r="147" spans="2:13" ht="15.75" customHeight="1" x14ac:dyDescent="0.25">
      <c r="B147" s="14"/>
      <c r="C147" s="123"/>
      <c r="D147" s="123"/>
      <c r="E147" s="123"/>
      <c r="F147" s="54">
        <v>124</v>
      </c>
      <c r="G147" s="140">
        <f t="shared" si="13"/>
        <v>3694.3032025583493</v>
      </c>
      <c r="H147" s="140">
        <f t="shared" si="12"/>
        <v>1078.5530326885419</v>
      </c>
      <c r="I147" s="140">
        <f>K146*D127/12</f>
        <v>2615.7501698698075</v>
      </c>
      <c r="J147" s="140">
        <f>IF(K146&gt;=(D128*D132),D131,0)</f>
        <v>0</v>
      </c>
      <c r="K147" s="140">
        <f t="shared" si="14"/>
        <v>501145.47958231444</v>
      </c>
      <c r="L147" s="141">
        <v>0</v>
      </c>
      <c r="M147" s="5"/>
    </row>
    <row r="148" spans="2:13" ht="15.75" customHeight="1" x14ac:dyDescent="0.25">
      <c r="B148" s="14"/>
      <c r="C148" s="123"/>
      <c r="D148" s="123"/>
      <c r="E148" s="123"/>
      <c r="F148" s="54">
        <v>125</v>
      </c>
      <c r="G148" s="140">
        <f t="shared" si="13"/>
        <v>3694.3032025583493</v>
      </c>
      <c r="H148" s="140">
        <f t="shared" si="12"/>
        <v>1084.1704964004616</v>
      </c>
      <c r="I148" s="140">
        <f>K147*D127/12</f>
        <v>2610.1327061578877</v>
      </c>
      <c r="J148" s="140">
        <f>IF(K147&gt;=(D128*D132),D131,0)</f>
        <v>0</v>
      </c>
      <c r="K148" s="140">
        <f t="shared" si="14"/>
        <v>500061.30908591399</v>
      </c>
      <c r="L148" s="141">
        <v>0</v>
      </c>
      <c r="M148" s="5"/>
    </row>
    <row r="149" spans="2:13" ht="15.75" customHeight="1" x14ac:dyDescent="0.25">
      <c r="B149" s="14"/>
      <c r="C149" s="123"/>
      <c r="D149" s="123"/>
      <c r="E149" s="123"/>
      <c r="F149" s="54">
        <v>126</v>
      </c>
      <c r="G149" s="140">
        <f t="shared" si="13"/>
        <v>3694.3032025583493</v>
      </c>
      <c r="H149" s="140">
        <f t="shared" si="12"/>
        <v>1089.8172177358806</v>
      </c>
      <c r="I149" s="140">
        <f>K148*D127/12</f>
        <v>2604.4859848224687</v>
      </c>
      <c r="J149" s="140">
        <f>IF(K148&gt;=(D128*D132),D131,0)</f>
        <v>0</v>
      </c>
      <c r="K149" s="140">
        <f t="shared" si="14"/>
        <v>498971.49186817813</v>
      </c>
      <c r="L149" s="141">
        <v>0</v>
      </c>
      <c r="M149" s="5"/>
    </row>
    <row r="150" spans="2:13" ht="15.75" customHeight="1" x14ac:dyDescent="0.25">
      <c r="B150" s="14"/>
      <c r="C150" s="123"/>
      <c r="D150" s="123"/>
      <c r="E150" s="123"/>
      <c r="F150" s="54">
        <v>127</v>
      </c>
      <c r="G150" s="140">
        <f t="shared" si="13"/>
        <v>3694.3032025583493</v>
      </c>
      <c r="H150" s="140">
        <f t="shared" si="12"/>
        <v>1095.4933490782551</v>
      </c>
      <c r="I150" s="140">
        <f>K149*D127/12</f>
        <v>2598.8098534800943</v>
      </c>
      <c r="J150" s="140">
        <f>IF(K149&gt;=(D128*D132),D131,0)</f>
        <v>0</v>
      </c>
      <c r="K150" s="140">
        <f t="shared" si="14"/>
        <v>497875.9985190999</v>
      </c>
      <c r="L150" s="141">
        <v>0</v>
      </c>
      <c r="M150" s="5"/>
    </row>
    <row r="151" spans="2:13" ht="15.75" customHeight="1" x14ac:dyDescent="0.25">
      <c r="B151" s="14"/>
      <c r="C151" s="123"/>
      <c r="D151" s="123"/>
      <c r="E151" s="123"/>
      <c r="F151" s="54">
        <v>128</v>
      </c>
      <c r="G151" s="140">
        <f t="shared" si="13"/>
        <v>3694.3032025583493</v>
      </c>
      <c r="H151" s="140">
        <f t="shared" si="12"/>
        <v>1101.199043604704</v>
      </c>
      <c r="I151" s="140">
        <f>K150*D127/12</f>
        <v>2593.1041589536453</v>
      </c>
      <c r="J151" s="140">
        <f>IF(K150&gt;=(D128*D132),D131,0)</f>
        <v>0</v>
      </c>
      <c r="K151" s="140">
        <f t="shared" si="14"/>
        <v>496774.79947549518</v>
      </c>
      <c r="L151" s="141">
        <v>0</v>
      </c>
      <c r="M151" s="5"/>
    </row>
    <row r="152" spans="2:13" ht="15.75" customHeight="1" x14ac:dyDescent="0.25">
      <c r="B152" s="14"/>
      <c r="C152" s="123"/>
      <c r="D152" s="123"/>
      <c r="E152" s="123"/>
      <c r="F152" s="54">
        <v>129</v>
      </c>
      <c r="G152" s="140">
        <f t="shared" si="13"/>
        <v>3694.3032025583493</v>
      </c>
      <c r="H152" s="140">
        <f t="shared" si="12"/>
        <v>1106.9344552901453</v>
      </c>
      <c r="I152" s="140">
        <f>K151*D127/12</f>
        <v>2587.3687472682041</v>
      </c>
      <c r="J152" s="140">
        <f>IF(K151&gt;=(D128*D132),D131,0)</f>
        <v>0</v>
      </c>
      <c r="K152" s="140">
        <f t="shared" si="14"/>
        <v>495667.86502020503</v>
      </c>
      <c r="L152" s="141">
        <v>0</v>
      </c>
      <c r="M152" s="5"/>
    </row>
    <row r="153" spans="2:13" ht="15.75" customHeight="1" x14ac:dyDescent="0.25">
      <c r="B153" s="14"/>
      <c r="C153" s="123"/>
      <c r="D153" s="123"/>
      <c r="E153" s="123"/>
      <c r="F153" s="54">
        <v>130</v>
      </c>
      <c r="G153" s="140">
        <f t="shared" si="13"/>
        <v>3694.3032025583493</v>
      </c>
      <c r="H153" s="140">
        <f t="shared" si="12"/>
        <v>1112.6997389114481</v>
      </c>
      <c r="I153" s="140">
        <f>K152*D127/12</f>
        <v>2581.6034636469012</v>
      </c>
      <c r="J153" s="140">
        <f>IF(K152&gt;=(D128*D132),D131,0)</f>
        <v>0</v>
      </c>
      <c r="K153" s="140">
        <f t="shared" si="14"/>
        <v>494555.16528129356</v>
      </c>
      <c r="L153" s="141">
        <v>0</v>
      </c>
      <c r="M153" s="5"/>
    </row>
    <row r="154" spans="2:13" ht="15.75" customHeight="1" x14ac:dyDescent="0.25">
      <c r="B154" s="14"/>
      <c r="C154" s="123"/>
      <c r="D154" s="123"/>
      <c r="E154" s="123"/>
      <c r="F154" s="54">
        <v>131</v>
      </c>
      <c r="G154" s="140">
        <f t="shared" si="13"/>
        <v>3694.3032025583493</v>
      </c>
      <c r="H154" s="140">
        <f t="shared" si="12"/>
        <v>1118.495050051612</v>
      </c>
      <c r="I154" s="140">
        <f>K153*D127/12</f>
        <v>2575.8081525067373</v>
      </c>
      <c r="J154" s="140">
        <f>IF(K153&gt;=(D128*D132),D131,0)</f>
        <v>0</v>
      </c>
      <c r="K154" s="140">
        <f t="shared" si="14"/>
        <v>493436.67023124197</v>
      </c>
      <c r="L154" s="141">
        <v>0</v>
      </c>
      <c r="M154" s="5"/>
    </row>
    <row r="155" spans="2:13" ht="15.75" customHeight="1" x14ac:dyDescent="0.25">
      <c r="B155" s="14"/>
      <c r="C155" s="123"/>
      <c r="D155" s="123"/>
      <c r="E155" s="123"/>
      <c r="F155" s="151">
        <v>132</v>
      </c>
      <c r="G155" s="140">
        <f t="shared" si="13"/>
        <v>3694.3032025583493</v>
      </c>
      <c r="H155" s="140">
        <f t="shared" si="12"/>
        <v>1124.3205451039639</v>
      </c>
      <c r="I155" s="140">
        <f>K154*D127/12</f>
        <v>2569.9826574543854</v>
      </c>
      <c r="J155" s="140">
        <f>IF(K154&gt;=(D128*D132),D131,0)</f>
        <v>0</v>
      </c>
      <c r="K155" s="140">
        <f t="shared" si="14"/>
        <v>492312.34968613798</v>
      </c>
      <c r="L155" s="141">
        <v>0</v>
      </c>
      <c r="M155" s="5"/>
    </row>
    <row r="156" spans="2:13" ht="15.75" customHeight="1" x14ac:dyDescent="0.25">
      <c r="B156" s="14"/>
      <c r="C156" s="123"/>
      <c r="D156" s="123"/>
      <c r="E156" s="123"/>
      <c r="F156" s="54">
        <v>133</v>
      </c>
      <c r="G156" s="140">
        <f t="shared" si="13"/>
        <v>3694.3032025583493</v>
      </c>
      <c r="H156" s="140">
        <f t="shared" si="12"/>
        <v>1130.1763812763807</v>
      </c>
      <c r="I156" s="140">
        <f>K155*D127/12</f>
        <v>2564.1268212819687</v>
      </c>
      <c r="J156" s="140">
        <f>IF(K155&gt;=(D128*D132),D131,0)</f>
        <v>0</v>
      </c>
      <c r="K156" s="140">
        <f t="shared" si="14"/>
        <v>491182.17330486159</v>
      </c>
      <c r="L156" s="141">
        <v>0</v>
      </c>
      <c r="M156" s="5"/>
    </row>
    <row r="157" spans="2:13" ht="15.75" customHeight="1" x14ac:dyDescent="0.25">
      <c r="B157" s="14"/>
      <c r="C157" s="123"/>
      <c r="D157" s="123"/>
      <c r="E157" s="123"/>
      <c r="F157" s="54">
        <v>134</v>
      </c>
      <c r="G157" s="140">
        <f t="shared" si="13"/>
        <v>3694.3032025583493</v>
      </c>
      <c r="H157" s="140">
        <f t="shared" si="12"/>
        <v>1136.0627165955284</v>
      </c>
      <c r="I157" s="140">
        <f>K156*D127/12</f>
        <v>2558.2404859628209</v>
      </c>
      <c r="J157" s="140">
        <f>IF(K156&gt;=(D128*D132),D131,0)</f>
        <v>0</v>
      </c>
      <c r="K157" s="140">
        <f t="shared" si="14"/>
        <v>490046.11058826605</v>
      </c>
      <c r="L157" s="141">
        <v>0</v>
      </c>
      <c r="M157" s="5"/>
    </row>
    <row r="158" spans="2:13" ht="15.75" customHeight="1" x14ac:dyDescent="0.25">
      <c r="B158" s="14"/>
      <c r="C158" s="123"/>
      <c r="D158" s="123"/>
      <c r="E158" s="123"/>
      <c r="F158" s="54">
        <v>135</v>
      </c>
      <c r="G158" s="140">
        <f t="shared" si="13"/>
        <v>3694.3032025583493</v>
      </c>
      <c r="H158" s="140">
        <f t="shared" si="12"/>
        <v>1141.9797099111302</v>
      </c>
      <c r="I158" s="140">
        <f>K157*D127/12</f>
        <v>2552.3234926472192</v>
      </c>
      <c r="J158" s="140">
        <f>IF(K157&gt;=(D128*D132),D131,0)</f>
        <v>0</v>
      </c>
      <c r="K158" s="140">
        <f t="shared" si="14"/>
        <v>488904.13087835495</v>
      </c>
      <c r="L158" s="141">
        <v>0</v>
      </c>
      <c r="M158" s="5"/>
    </row>
    <row r="159" spans="2:13" ht="15.75" customHeight="1" x14ac:dyDescent="0.25">
      <c r="B159" s="14"/>
      <c r="C159" s="123"/>
      <c r="D159" s="123"/>
      <c r="E159" s="123"/>
      <c r="F159" s="54">
        <v>136</v>
      </c>
      <c r="G159" s="140">
        <f t="shared" si="13"/>
        <v>3694.3032025583493</v>
      </c>
      <c r="H159" s="140">
        <f t="shared" si="12"/>
        <v>1147.9275209002508</v>
      </c>
      <c r="I159" s="140">
        <f>K158*D127/12</f>
        <v>2546.3756816580985</v>
      </c>
      <c r="J159" s="140">
        <f>IF(K158&gt;=(D128*D132),D131,0)</f>
        <v>0</v>
      </c>
      <c r="K159" s="140">
        <f t="shared" si="14"/>
        <v>487756.20335745468</v>
      </c>
      <c r="L159" s="141">
        <v>0</v>
      </c>
      <c r="M159" s="5"/>
    </row>
    <row r="160" spans="2:13" ht="15.75" customHeight="1" x14ac:dyDescent="0.25">
      <c r="B160" s="14"/>
      <c r="C160" s="123"/>
      <c r="D160" s="123"/>
      <c r="E160" s="123"/>
      <c r="F160" s="54">
        <v>137</v>
      </c>
      <c r="G160" s="140">
        <f t="shared" si="13"/>
        <v>3694.3032025583493</v>
      </c>
      <c r="H160" s="140">
        <f t="shared" si="12"/>
        <v>1153.9063100716062</v>
      </c>
      <c r="I160" s="140">
        <f>K159*D127/12</f>
        <v>2540.3968924867431</v>
      </c>
      <c r="J160" s="140">
        <f>IF(K159&gt;=(D128*D132),D131,0)</f>
        <v>0</v>
      </c>
      <c r="K160" s="140">
        <f t="shared" si="14"/>
        <v>486602.29704738309</v>
      </c>
      <c r="L160" s="141">
        <v>0</v>
      </c>
      <c r="M160" s="5"/>
    </row>
    <row r="161" spans="2:13" ht="15.75" customHeight="1" x14ac:dyDescent="0.25">
      <c r="B161" s="14"/>
      <c r="C161" s="123"/>
      <c r="D161" s="123"/>
      <c r="E161" s="123"/>
      <c r="F161" s="54">
        <v>138</v>
      </c>
      <c r="G161" s="140">
        <f t="shared" si="13"/>
        <v>3694.3032025583493</v>
      </c>
      <c r="H161" s="140">
        <f t="shared" si="12"/>
        <v>1159.9162387698957</v>
      </c>
      <c r="I161" s="140">
        <f>K160*D127/12</f>
        <v>2534.3869637884536</v>
      </c>
      <c r="J161" s="140">
        <f>IF(K160&gt;=(D128*D132),D131,0)</f>
        <v>0</v>
      </c>
      <c r="K161" s="140">
        <f t="shared" si="14"/>
        <v>485442.3808086132</v>
      </c>
      <c r="L161" s="141">
        <v>0</v>
      </c>
      <c r="M161" s="5"/>
    </row>
    <row r="162" spans="2:13" ht="15.75" customHeight="1" x14ac:dyDescent="0.25">
      <c r="B162" s="14"/>
      <c r="C162" s="123"/>
      <c r="D162" s="123"/>
      <c r="E162" s="123"/>
      <c r="F162" s="54">
        <v>139</v>
      </c>
      <c r="G162" s="140">
        <f t="shared" si="13"/>
        <v>3694.3032025583493</v>
      </c>
      <c r="H162" s="140">
        <f t="shared" si="12"/>
        <v>1165.9574691801554</v>
      </c>
      <c r="I162" s="140">
        <f>K161*D127/12</f>
        <v>2528.3457333781939</v>
      </c>
      <c r="J162" s="140">
        <f>IF(K161&gt;=(D128*D132),D131,0)</f>
        <v>0</v>
      </c>
      <c r="K162" s="140">
        <f t="shared" si="14"/>
        <v>484276.42333943304</v>
      </c>
      <c r="L162" s="141">
        <v>0</v>
      </c>
      <c r="M162" s="5"/>
    </row>
    <row r="163" spans="2:13" ht="15.75" customHeight="1" x14ac:dyDescent="0.25">
      <c r="B163" s="14"/>
      <c r="C163" s="123"/>
      <c r="D163" s="123"/>
      <c r="E163" s="123"/>
      <c r="F163" s="54">
        <v>140</v>
      </c>
      <c r="G163" s="140">
        <f t="shared" si="13"/>
        <v>3694.3032025583493</v>
      </c>
      <c r="H163" s="140">
        <f t="shared" si="12"/>
        <v>1172.0301643321354</v>
      </c>
      <c r="I163" s="140">
        <f>K162*D127/12</f>
        <v>2522.2730382262139</v>
      </c>
      <c r="J163" s="140">
        <f>IF(K162&gt;=(D128*D132),D131,0)</f>
        <v>0</v>
      </c>
      <c r="K163" s="140">
        <f t="shared" si="14"/>
        <v>483104.39317510091</v>
      </c>
      <c r="L163" s="141">
        <v>0</v>
      </c>
      <c r="M163" s="5"/>
    </row>
    <row r="164" spans="2:13" ht="15.75" customHeight="1" x14ac:dyDescent="0.25">
      <c r="B164" s="14"/>
      <c r="C164" s="123"/>
      <c r="D164" s="123"/>
      <c r="E164" s="123"/>
      <c r="F164" s="54">
        <v>141</v>
      </c>
      <c r="G164" s="140">
        <f t="shared" si="13"/>
        <v>3694.3032025583493</v>
      </c>
      <c r="H164" s="140">
        <f t="shared" si="12"/>
        <v>1178.1344881046989</v>
      </c>
      <c r="I164" s="140">
        <f>K163*D127/12</f>
        <v>2516.1687144536504</v>
      </c>
      <c r="J164" s="140">
        <f>IF(K163&gt;=(D128*D132),D131,0)</f>
        <v>0</v>
      </c>
      <c r="K164" s="140">
        <f t="shared" si="14"/>
        <v>481926.25868699618</v>
      </c>
      <c r="L164" s="141">
        <v>0</v>
      </c>
      <c r="M164" s="5"/>
    </row>
    <row r="165" spans="2:13" ht="15.75" customHeight="1" x14ac:dyDescent="0.25">
      <c r="B165" s="14"/>
      <c r="C165" s="123"/>
      <c r="D165" s="123"/>
      <c r="E165" s="123"/>
      <c r="F165" s="54">
        <v>142</v>
      </c>
      <c r="G165" s="140">
        <f t="shared" si="13"/>
        <v>3694.3032025583493</v>
      </c>
      <c r="H165" s="140">
        <f t="shared" si="12"/>
        <v>1184.2706052302442</v>
      </c>
      <c r="I165" s="140">
        <f>K164*D127/12</f>
        <v>2510.0325973281051</v>
      </c>
      <c r="J165" s="140">
        <f>IF(K164&gt;=(D128*D132),D131,0)</f>
        <v>0</v>
      </c>
      <c r="K165" s="140">
        <f t="shared" si="14"/>
        <v>480741.98808176594</v>
      </c>
      <c r="L165" s="141">
        <v>0</v>
      </c>
      <c r="M165" s="5"/>
    </row>
    <row r="166" spans="2:13" ht="15.75" customHeight="1" x14ac:dyDescent="0.25">
      <c r="B166" s="14"/>
      <c r="C166" s="123"/>
      <c r="D166" s="123"/>
      <c r="E166" s="123"/>
      <c r="F166" s="54">
        <v>143</v>
      </c>
      <c r="G166" s="140">
        <f t="shared" si="13"/>
        <v>3694.3032025583493</v>
      </c>
      <c r="H166" s="140">
        <f t="shared" si="12"/>
        <v>1190.4386812991515</v>
      </c>
      <c r="I166" s="140">
        <f>K165*D127/12</f>
        <v>2503.8645212591978</v>
      </c>
      <c r="J166" s="140">
        <f>IF(K165&gt;=(D128*D132),D131,0)</f>
        <v>0</v>
      </c>
      <c r="K166" s="140">
        <f t="shared" si="14"/>
        <v>479551.54940046679</v>
      </c>
      <c r="L166" s="141">
        <v>0</v>
      </c>
      <c r="M166" s="5"/>
    </row>
    <row r="167" spans="2:13" ht="15.75" customHeight="1" x14ac:dyDescent="0.25">
      <c r="B167" s="14"/>
      <c r="C167" s="123"/>
      <c r="D167" s="123"/>
      <c r="E167" s="123"/>
      <c r="F167" s="151">
        <v>144</v>
      </c>
      <c r="G167" s="140">
        <f t="shared" si="13"/>
        <v>3694.3032025583493</v>
      </c>
      <c r="H167" s="140">
        <f t="shared" si="12"/>
        <v>1196.6388827642513</v>
      </c>
      <c r="I167" s="140">
        <f>K166*D127/12</f>
        <v>2497.664319794098</v>
      </c>
      <c r="J167" s="140">
        <f>IF(K166&gt;=(D128*D132),D131,0)</f>
        <v>0</v>
      </c>
      <c r="K167" s="140">
        <f t="shared" si="14"/>
        <v>478354.91051770252</v>
      </c>
      <c r="L167" s="141">
        <v>0</v>
      </c>
      <c r="M167" s="5"/>
    </row>
    <row r="168" spans="2:13" ht="15.75" customHeight="1" x14ac:dyDescent="0.25">
      <c r="B168" s="14"/>
      <c r="C168" s="137" t="s">
        <v>114</v>
      </c>
      <c r="D168" s="138">
        <f t="shared" ref="D168:D173" si="15">D127</f>
        <v>6.25E-2</v>
      </c>
      <c r="E168" s="139"/>
      <c r="F168" s="54">
        <v>145</v>
      </c>
      <c r="G168" s="140">
        <f t="shared" si="13"/>
        <v>3694.3032025583493</v>
      </c>
      <c r="H168" s="140">
        <f t="shared" si="12"/>
        <v>1202.8713769453152</v>
      </c>
      <c r="I168" s="140">
        <f>K167*D168/12</f>
        <v>2491.4318256130341</v>
      </c>
      <c r="J168" s="140">
        <f>IF(K167&gt;=(D169*D173),D172,0)</f>
        <v>0</v>
      </c>
      <c r="K168" s="140">
        <f t="shared" si="14"/>
        <v>477152.03914075723</v>
      </c>
      <c r="L168" s="141">
        <v>0</v>
      </c>
      <c r="M168" s="5"/>
    </row>
    <row r="169" spans="2:13" ht="15.75" customHeight="1" x14ac:dyDescent="0.25">
      <c r="B169" s="14"/>
      <c r="C169" s="142" t="s">
        <v>3</v>
      </c>
      <c r="D169" s="143">
        <f t="shared" si="15"/>
        <v>750000</v>
      </c>
      <c r="E169" s="144"/>
      <c r="F169" s="54">
        <v>146</v>
      </c>
      <c r="G169" s="140">
        <f t="shared" si="13"/>
        <v>3694.3032025583493</v>
      </c>
      <c r="H169" s="140">
        <f t="shared" si="12"/>
        <v>1209.1363320335722</v>
      </c>
      <c r="I169" s="140">
        <f>K168*D168/12</f>
        <v>2485.1668705247771</v>
      </c>
      <c r="J169" s="140">
        <f>IF(K168&gt;=(D169*D173),D172,0)</f>
        <v>0</v>
      </c>
      <c r="K169" s="140">
        <f t="shared" si="14"/>
        <v>475942.90280872368</v>
      </c>
      <c r="L169" s="141">
        <v>0</v>
      </c>
      <c r="M169" s="5"/>
    </row>
    <row r="170" spans="2:13" ht="15.75" customHeight="1" x14ac:dyDescent="0.25">
      <c r="B170" s="14"/>
      <c r="C170" s="142" t="s">
        <v>111</v>
      </c>
      <c r="D170" s="143">
        <f t="shared" si="15"/>
        <v>600000</v>
      </c>
      <c r="E170" s="144"/>
      <c r="F170" s="54">
        <v>147</v>
      </c>
      <c r="G170" s="140">
        <f t="shared" si="13"/>
        <v>3694.3032025583493</v>
      </c>
      <c r="H170" s="140">
        <f t="shared" si="12"/>
        <v>1215.4339170962467</v>
      </c>
      <c r="I170" s="140">
        <f>K169*D168/12</f>
        <v>2478.8692854621027</v>
      </c>
      <c r="J170" s="140">
        <f>IF(K169&gt;=(D169*D173),D172,0)</f>
        <v>0</v>
      </c>
      <c r="K170" s="140">
        <f t="shared" si="14"/>
        <v>474727.46889162745</v>
      </c>
      <c r="L170" s="141">
        <v>0</v>
      </c>
      <c r="M170" s="5"/>
    </row>
    <row r="171" spans="2:13" ht="15.75" customHeight="1" x14ac:dyDescent="0.25">
      <c r="B171" s="14"/>
      <c r="C171" s="142" t="s">
        <v>112</v>
      </c>
      <c r="D171" s="145">
        <f t="shared" si="15"/>
        <v>360</v>
      </c>
      <c r="E171" s="123"/>
      <c r="F171" s="54">
        <v>148</v>
      </c>
      <c r="G171" s="140">
        <f t="shared" si="13"/>
        <v>3694.3032025583493</v>
      </c>
      <c r="H171" s="140">
        <f t="shared" si="12"/>
        <v>1221.7643020811229</v>
      </c>
      <c r="I171" s="140">
        <f>K170*D168/12</f>
        <v>2472.5389004772264</v>
      </c>
      <c r="J171" s="140">
        <f>IF(K170&gt;=(D169*D173),D172,0)</f>
        <v>0</v>
      </c>
      <c r="K171" s="140">
        <f t="shared" si="14"/>
        <v>473505.70458954631</v>
      </c>
      <c r="L171" s="141">
        <v>0</v>
      </c>
      <c r="M171" s="5"/>
    </row>
    <row r="172" spans="2:13" ht="15.75" customHeight="1" x14ac:dyDescent="0.25">
      <c r="B172" s="14"/>
      <c r="C172" s="142" t="s">
        <v>32</v>
      </c>
      <c r="D172" s="146" t="str">
        <f t="shared" si="15"/>
        <v/>
      </c>
      <c r="E172" s="147"/>
      <c r="F172" s="54">
        <v>149</v>
      </c>
      <c r="G172" s="140">
        <f t="shared" si="13"/>
        <v>3694.3032025583493</v>
      </c>
      <c r="H172" s="140">
        <f t="shared" si="12"/>
        <v>1228.1276578211291</v>
      </c>
      <c r="I172" s="140">
        <f>K171*D168/12</f>
        <v>2466.1755447372202</v>
      </c>
      <c r="J172" s="140">
        <f>IF(K171&gt;=(D169*D173),D172,0)</f>
        <v>0</v>
      </c>
      <c r="K172" s="140">
        <f t="shared" si="14"/>
        <v>472277.5769317252</v>
      </c>
      <c r="L172" s="141">
        <v>0</v>
      </c>
      <c r="M172" s="5"/>
    </row>
    <row r="173" spans="2:13" ht="15.75" customHeight="1" x14ac:dyDescent="0.25">
      <c r="B173" s="14"/>
      <c r="C173" s="148" t="s">
        <v>113</v>
      </c>
      <c r="D173" s="149">
        <f t="shared" si="15"/>
        <v>0.8</v>
      </c>
      <c r="E173" s="150"/>
      <c r="F173" s="54">
        <v>150</v>
      </c>
      <c r="G173" s="140">
        <f t="shared" si="13"/>
        <v>3694.3032025583493</v>
      </c>
      <c r="H173" s="140">
        <f t="shared" si="12"/>
        <v>1234.5241560389472</v>
      </c>
      <c r="I173" s="140">
        <f>K172*D168/12</f>
        <v>2459.7790465194021</v>
      </c>
      <c r="J173" s="140">
        <f>IF(K172&gt;=(D169*D173),D172,0)</f>
        <v>0</v>
      </c>
      <c r="K173" s="140">
        <f t="shared" si="14"/>
        <v>471043.05277568626</v>
      </c>
      <c r="L173" s="141">
        <v>0</v>
      </c>
      <c r="M173" s="5"/>
    </row>
    <row r="174" spans="2:13" ht="15.75" customHeight="1" x14ac:dyDescent="0.25">
      <c r="B174" s="14"/>
      <c r="C174" s="123"/>
      <c r="D174" s="123"/>
      <c r="E174" s="123"/>
      <c r="F174" s="54">
        <v>151</v>
      </c>
      <c r="G174" s="140">
        <f t="shared" si="13"/>
        <v>3694.3032025583493</v>
      </c>
      <c r="H174" s="140">
        <f t="shared" si="12"/>
        <v>1240.9539693516499</v>
      </c>
      <c r="I174" s="140">
        <f>K173*D168/12</f>
        <v>2453.3492332066994</v>
      </c>
      <c r="J174" s="140">
        <f>IF(K173&gt;=(D169*D173),D172,0)</f>
        <v>0</v>
      </c>
      <c r="K174" s="140">
        <f t="shared" si="14"/>
        <v>469802.0988063346</v>
      </c>
      <c r="L174" s="141">
        <v>0</v>
      </c>
      <c r="M174" s="5"/>
    </row>
    <row r="175" spans="2:13" ht="15.75" customHeight="1" x14ac:dyDescent="0.25">
      <c r="B175" s="14"/>
      <c r="C175" s="123"/>
      <c r="D175" s="123"/>
      <c r="E175" s="123"/>
      <c r="F175" s="54">
        <v>152</v>
      </c>
      <c r="G175" s="140">
        <f t="shared" si="13"/>
        <v>3694.3032025583493</v>
      </c>
      <c r="H175" s="140">
        <f t="shared" si="12"/>
        <v>1247.4172712753566</v>
      </c>
      <c r="I175" s="140">
        <f>K174*D168/12</f>
        <v>2446.8859312829927</v>
      </c>
      <c r="J175" s="140">
        <f>IF(K174&gt;=(D169*D173),D172,0)</f>
        <v>0</v>
      </c>
      <c r="K175" s="140">
        <f t="shared" si="14"/>
        <v>468554.68153505924</v>
      </c>
      <c r="L175" s="141">
        <v>0</v>
      </c>
      <c r="M175" s="5"/>
    </row>
    <row r="176" spans="2:13" ht="15.75" customHeight="1" x14ac:dyDescent="0.25">
      <c r="B176" s="14"/>
      <c r="C176" s="123"/>
      <c r="D176" s="123"/>
      <c r="E176" s="123"/>
      <c r="F176" s="54">
        <v>153</v>
      </c>
      <c r="G176" s="140">
        <f t="shared" si="13"/>
        <v>3694.3032025583493</v>
      </c>
      <c r="H176" s="140">
        <f t="shared" si="12"/>
        <v>1253.9142362299158</v>
      </c>
      <c r="I176" s="140">
        <f>K175*D168/12</f>
        <v>2440.3889663284335</v>
      </c>
      <c r="J176" s="140">
        <f>IF(K175&gt;=(D169*D173),D172,0)</f>
        <v>0</v>
      </c>
      <c r="K176" s="140">
        <f t="shared" si="14"/>
        <v>467300.76729882933</v>
      </c>
      <c r="L176" s="141">
        <v>0</v>
      </c>
      <c r="M176" s="5"/>
    </row>
    <row r="177" spans="1:26" ht="15.75" customHeight="1" x14ac:dyDescent="0.25">
      <c r="B177" s="14"/>
      <c r="C177" s="147"/>
      <c r="D177" s="123"/>
      <c r="E177" s="123"/>
      <c r="F177" s="54">
        <v>154</v>
      </c>
      <c r="G177" s="140">
        <f t="shared" si="13"/>
        <v>3694.3032025583493</v>
      </c>
      <c r="H177" s="140">
        <f t="shared" si="12"/>
        <v>1260.4450395436133</v>
      </c>
      <c r="I177" s="140">
        <f>K176*D168/12</f>
        <v>2433.858163014736</v>
      </c>
      <c r="J177" s="140">
        <f>IF(K176&gt;=(D169*D173),D172,0)</f>
        <v>0</v>
      </c>
      <c r="K177" s="140">
        <f t="shared" si="14"/>
        <v>466040.32225928572</v>
      </c>
      <c r="L177" s="141">
        <v>0</v>
      </c>
      <c r="M177" s="5"/>
    </row>
    <row r="178" spans="1:26" ht="15.75" customHeight="1" x14ac:dyDescent="0.25">
      <c r="B178" s="14"/>
      <c r="C178" s="123"/>
      <c r="D178" s="123"/>
      <c r="E178" s="123"/>
      <c r="F178" s="54">
        <v>155</v>
      </c>
      <c r="G178" s="140">
        <f t="shared" si="13"/>
        <v>3694.3032025583493</v>
      </c>
      <c r="H178" s="140">
        <f t="shared" si="12"/>
        <v>1267.0098574579029</v>
      </c>
      <c r="I178" s="140">
        <f>K177*D168/12</f>
        <v>2427.2933451004465</v>
      </c>
      <c r="J178" s="140">
        <f>IF(K177&gt;=(D169*D173),D172,0)</f>
        <v>0</v>
      </c>
      <c r="K178" s="140">
        <f t="shared" si="14"/>
        <v>464773.31240182783</v>
      </c>
      <c r="L178" s="141">
        <v>0</v>
      </c>
      <c r="M178" s="5"/>
    </row>
    <row r="179" spans="1:26" ht="15.75" customHeight="1" x14ac:dyDescent="0.25">
      <c r="B179" s="14"/>
      <c r="C179" s="123"/>
      <c r="D179" s="123"/>
      <c r="E179" s="123"/>
      <c r="F179" s="151">
        <v>156</v>
      </c>
      <c r="G179" s="140">
        <f t="shared" si="13"/>
        <v>3694.3032025583493</v>
      </c>
      <c r="H179" s="140">
        <f t="shared" si="12"/>
        <v>1273.6088671321627</v>
      </c>
      <c r="I179" s="140">
        <f>K178*D168/12</f>
        <v>2420.6943354261866</v>
      </c>
      <c r="J179" s="140">
        <f>IF(K178&gt;=(D169*D173),D172,0)</f>
        <v>0</v>
      </c>
      <c r="K179" s="140">
        <f t="shared" si="14"/>
        <v>463499.70353469567</v>
      </c>
      <c r="L179" s="141">
        <v>0</v>
      </c>
      <c r="M179" s="5"/>
    </row>
    <row r="180" spans="1:26" ht="15.75" customHeight="1" x14ac:dyDescent="0.25">
      <c r="B180" s="14"/>
      <c r="C180" s="123"/>
      <c r="D180" s="123"/>
      <c r="E180" s="123"/>
      <c r="F180" s="54">
        <v>157</v>
      </c>
      <c r="G180" s="140">
        <f t="shared" si="13"/>
        <v>3694.3032025583493</v>
      </c>
      <c r="H180" s="140">
        <f t="shared" si="12"/>
        <v>1280.2422466484759</v>
      </c>
      <c r="I180" s="140">
        <f>K179*D168/12</f>
        <v>2414.0609559098734</v>
      </c>
      <c r="J180" s="140">
        <f>IF(K179&gt;=(D169*D173),D172,0)</f>
        <v>0</v>
      </c>
      <c r="K180" s="140">
        <f t="shared" si="14"/>
        <v>462219.4612880472</v>
      </c>
      <c r="L180" s="141">
        <v>0</v>
      </c>
      <c r="M180" s="5"/>
    </row>
    <row r="181" spans="1:26" ht="15.75" customHeight="1" x14ac:dyDescent="0.25">
      <c r="B181" s="14"/>
      <c r="C181" s="123"/>
      <c r="D181" s="123"/>
      <c r="E181" s="123"/>
      <c r="F181" s="54">
        <v>158</v>
      </c>
      <c r="G181" s="140">
        <f t="shared" si="13"/>
        <v>3694.3032025583493</v>
      </c>
      <c r="H181" s="140">
        <f t="shared" si="12"/>
        <v>1286.9101750164368</v>
      </c>
      <c r="I181" s="140">
        <f>K180*D168/12</f>
        <v>2407.3930275419125</v>
      </c>
      <c r="J181" s="140">
        <f>IF(K180&gt;=(D169*D173),D172,0)</f>
        <v>0</v>
      </c>
      <c r="K181" s="140">
        <f t="shared" si="14"/>
        <v>460932.55111303076</v>
      </c>
      <c r="L181" s="141">
        <v>0</v>
      </c>
      <c r="M181" s="5"/>
    </row>
    <row r="182" spans="1:26" ht="15.75" customHeight="1" x14ac:dyDescent="0.25">
      <c r="B182" s="14"/>
      <c r="C182" s="123"/>
      <c r="D182" s="123"/>
      <c r="E182" s="123"/>
      <c r="F182" s="54">
        <v>159</v>
      </c>
      <c r="G182" s="140">
        <f t="shared" si="13"/>
        <v>3694.3032025583493</v>
      </c>
      <c r="H182" s="140">
        <f t="shared" si="12"/>
        <v>1293.6128321779806</v>
      </c>
      <c r="I182" s="140">
        <f>K181*D168/12</f>
        <v>2400.6903703803687</v>
      </c>
      <c r="J182" s="140">
        <f>IF(K181&gt;=(D169*D173),D172,0)</f>
        <v>0</v>
      </c>
      <c r="K182" s="140">
        <f t="shared" si="14"/>
        <v>459638.9382808528</v>
      </c>
      <c r="L182" s="141">
        <v>0</v>
      </c>
      <c r="M182" s="5"/>
    </row>
    <row r="183" spans="1:26" ht="15.75" customHeight="1" x14ac:dyDescent="0.25">
      <c r="B183" s="14"/>
      <c r="C183" s="123"/>
      <c r="D183" s="123"/>
      <c r="E183" s="123"/>
      <c r="F183" s="54">
        <v>160</v>
      </c>
      <c r="G183" s="140">
        <f t="shared" si="13"/>
        <v>3694.3032025583493</v>
      </c>
      <c r="H183" s="140">
        <f t="shared" si="12"/>
        <v>1300.3503990122408</v>
      </c>
      <c r="I183" s="140">
        <f>K182*D168/12</f>
        <v>2393.9528035461085</v>
      </c>
      <c r="J183" s="140">
        <f>IF(K182&gt;=(D169*D173),D172,0)</f>
        <v>0</v>
      </c>
      <c r="K183" s="140">
        <f t="shared" si="14"/>
        <v>458338.58788184053</v>
      </c>
      <c r="L183" s="141">
        <v>0</v>
      </c>
      <c r="M183" s="5"/>
    </row>
    <row r="184" spans="1:26" ht="15.75" customHeight="1" x14ac:dyDescent="0.25">
      <c r="B184" s="14"/>
      <c r="C184" s="123"/>
      <c r="D184" s="123"/>
      <c r="E184" s="123"/>
      <c r="F184" s="54">
        <v>161</v>
      </c>
      <c r="G184" s="140">
        <f t="shared" si="13"/>
        <v>3694.3032025583493</v>
      </c>
      <c r="H184" s="140">
        <f t="shared" si="12"/>
        <v>1307.12305734043</v>
      </c>
      <c r="I184" s="140">
        <f>K183*D168/12</f>
        <v>2387.1801452179193</v>
      </c>
      <c r="J184" s="140">
        <f>IF(K183&gt;=(D169*D173),D172,0)</f>
        <v>0</v>
      </c>
      <c r="K184" s="140">
        <f t="shared" si="14"/>
        <v>457031.46482450009</v>
      </c>
      <c r="L184" s="141">
        <v>0</v>
      </c>
      <c r="M184" s="5"/>
    </row>
    <row r="185" spans="1:26" ht="15.75" customHeight="1" x14ac:dyDescent="0.25">
      <c r="B185" s="14"/>
      <c r="C185" s="123"/>
      <c r="D185" s="123"/>
      <c r="E185" s="123"/>
      <c r="F185" s="41">
        <v>162</v>
      </c>
      <c r="G185" s="153">
        <f t="shared" si="13"/>
        <v>3694.3032025583493</v>
      </c>
      <c r="H185" s="153">
        <f t="shared" si="12"/>
        <v>1313.9309899307445</v>
      </c>
      <c r="I185" s="153">
        <f>K184*D168/12</f>
        <v>2380.3722126276048</v>
      </c>
      <c r="J185" s="153">
        <f>IF(K184&gt;=(D169*D173),D172,0)</f>
        <v>0</v>
      </c>
      <c r="K185" s="153">
        <f t="shared" si="14"/>
        <v>455717.53383456933</v>
      </c>
      <c r="L185" s="154">
        <v>0</v>
      </c>
      <c r="M185" s="5"/>
    </row>
    <row r="186" spans="1:26" ht="11.25" customHeight="1" x14ac:dyDescent="0.25">
      <c r="B186" s="62"/>
      <c r="C186" s="155"/>
      <c r="D186" s="155"/>
      <c r="E186" s="155"/>
      <c r="F186" s="166"/>
      <c r="G186" s="157"/>
      <c r="H186" s="157"/>
      <c r="I186" s="157"/>
      <c r="J186" s="157"/>
      <c r="K186" s="157"/>
      <c r="L186" s="158"/>
      <c r="M186" s="64"/>
    </row>
    <row r="187" spans="1:26" ht="11.25" customHeight="1" x14ac:dyDescent="0.25">
      <c r="C187" s="120"/>
      <c r="D187" s="120"/>
      <c r="E187" s="120"/>
      <c r="F187" s="159"/>
      <c r="G187" s="140"/>
      <c r="H187" s="140"/>
      <c r="I187" s="140"/>
      <c r="J187" s="140"/>
      <c r="K187" s="140"/>
      <c r="L187" s="56"/>
    </row>
    <row r="188" spans="1:26" ht="11.25" customHeight="1" x14ac:dyDescent="0.25">
      <c r="B188" s="1"/>
      <c r="C188" s="160"/>
      <c r="D188" s="121"/>
      <c r="E188" s="121"/>
      <c r="F188" s="121"/>
      <c r="G188" s="121"/>
      <c r="H188" s="121"/>
      <c r="I188" s="121"/>
      <c r="J188" s="121"/>
      <c r="K188" s="121"/>
      <c r="L188" s="161"/>
      <c r="M188" s="3"/>
    </row>
    <row r="189" spans="1:26" ht="22.5" customHeight="1" x14ac:dyDescent="0.25">
      <c r="A189" s="129"/>
      <c r="B189" s="130"/>
      <c r="C189" s="131"/>
      <c r="D189" s="131"/>
      <c r="E189" s="131"/>
      <c r="F189" s="132" t="s">
        <v>103</v>
      </c>
      <c r="G189" s="133" t="s">
        <v>104</v>
      </c>
      <c r="H189" s="133" t="s">
        <v>105</v>
      </c>
      <c r="I189" s="133" t="s">
        <v>106</v>
      </c>
      <c r="J189" s="133" t="s">
        <v>107</v>
      </c>
      <c r="K189" s="133" t="s">
        <v>108</v>
      </c>
      <c r="L189" s="134" t="s">
        <v>109</v>
      </c>
      <c r="M189" s="135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spans="1:26" ht="11.25" customHeight="1" x14ac:dyDescent="0.25">
      <c r="B190" s="14"/>
      <c r="C190" s="123"/>
      <c r="D190" s="123"/>
      <c r="E190" s="123"/>
      <c r="F190" s="75"/>
      <c r="G190" s="76"/>
      <c r="H190" s="76"/>
      <c r="I190" s="76"/>
      <c r="J190" s="76"/>
      <c r="K190" s="76"/>
      <c r="L190" s="136"/>
      <c r="M190" s="5"/>
    </row>
    <row r="191" spans="1:26" ht="15.75" customHeight="1" x14ac:dyDescent="0.25">
      <c r="B191" s="14"/>
      <c r="C191" s="123"/>
      <c r="D191" s="123"/>
      <c r="E191" s="123"/>
      <c r="F191" s="54">
        <v>163</v>
      </c>
      <c r="G191" s="140">
        <f>IF(K185=0,0,G185)</f>
        <v>3694.3032025583493</v>
      </c>
      <c r="H191" s="140">
        <f t="shared" ref="H191:H232" si="16">G191-I191</f>
        <v>1320.7743805033006</v>
      </c>
      <c r="I191" s="140">
        <f>K185*D168/12</f>
        <v>2373.5288220550487</v>
      </c>
      <c r="J191" s="140">
        <f>IF(K185&gt;=(D169*D173),D172,0)</f>
        <v>0</v>
      </c>
      <c r="K191" s="140">
        <f>IF(K185-H191-L191&gt;0,K185-H191-L191,0)</f>
        <v>454396.75945406605</v>
      </c>
      <c r="L191" s="141">
        <v>0</v>
      </c>
      <c r="M191" s="5"/>
    </row>
    <row r="192" spans="1:26" ht="15.75" customHeight="1" x14ac:dyDescent="0.25">
      <c r="B192" s="14"/>
      <c r="C192" s="123"/>
      <c r="D192" s="123"/>
      <c r="E192" s="123"/>
      <c r="F192" s="54">
        <v>164</v>
      </c>
      <c r="G192" s="140">
        <f t="shared" ref="G192:G232" si="17">IF(K191=0,0,G191)</f>
        <v>3694.3032025583493</v>
      </c>
      <c r="H192" s="140">
        <f t="shared" si="16"/>
        <v>1327.6534137350886</v>
      </c>
      <c r="I192" s="140">
        <f>K191*D168/12</f>
        <v>2366.6497888232607</v>
      </c>
      <c r="J192" s="140">
        <f>IF(K191&gt;=(D169*D173),D172,0)</f>
        <v>0</v>
      </c>
      <c r="K192" s="140">
        <f t="shared" ref="K192:K232" si="18">IF(K191-H192-L192&gt;0,K191-H192-L192,)</f>
        <v>453069.10604033095</v>
      </c>
      <c r="L192" s="141">
        <v>0</v>
      </c>
      <c r="M192" s="5"/>
    </row>
    <row r="193" spans="2:13" ht="15.75" customHeight="1" x14ac:dyDescent="0.25">
      <c r="B193" s="14"/>
      <c r="C193" s="123"/>
      <c r="D193" s="123"/>
      <c r="E193" s="123"/>
      <c r="F193" s="54">
        <v>165</v>
      </c>
      <c r="G193" s="140">
        <f t="shared" si="17"/>
        <v>3694.3032025583493</v>
      </c>
      <c r="H193" s="140">
        <f t="shared" si="16"/>
        <v>1334.5682752649591</v>
      </c>
      <c r="I193" s="140">
        <f>K192*D168/12</f>
        <v>2359.7349272933902</v>
      </c>
      <c r="J193" s="140">
        <f>IF(K192&gt;=(D169*D173),D172,0)</f>
        <v>0</v>
      </c>
      <c r="K193" s="140">
        <f t="shared" si="18"/>
        <v>451734.53776506602</v>
      </c>
      <c r="L193" s="141">
        <v>0</v>
      </c>
      <c r="M193" s="5"/>
    </row>
    <row r="194" spans="2:13" ht="15.75" customHeight="1" x14ac:dyDescent="0.25">
      <c r="B194" s="14"/>
      <c r="C194" s="123"/>
      <c r="D194" s="123"/>
      <c r="E194" s="123"/>
      <c r="F194" s="54">
        <v>166</v>
      </c>
      <c r="G194" s="140">
        <f t="shared" si="17"/>
        <v>3694.3032025583493</v>
      </c>
      <c r="H194" s="140">
        <f t="shared" si="16"/>
        <v>1341.5191516986306</v>
      </c>
      <c r="I194" s="140">
        <f>K193*D168/12</f>
        <v>2352.7840508597187</v>
      </c>
      <c r="J194" s="140">
        <f>IF(K193&gt;=(D169*D173),D172,0)</f>
        <v>0</v>
      </c>
      <c r="K194" s="140">
        <f t="shared" si="18"/>
        <v>450393.0186133674</v>
      </c>
      <c r="L194" s="141">
        <v>0</v>
      </c>
      <c r="M194" s="5"/>
    </row>
    <row r="195" spans="2:13" ht="15.75" customHeight="1" x14ac:dyDescent="0.25">
      <c r="B195" s="14"/>
      <c r="C195" s="123"/>
      <c r="D195" s="123"/>
      <c r="E195" s="123"/>
      <c r="F195" s="54">
        <v>167</v>
      </c>
      <c r="G195" s="140">
        <f t="shared" si="17"/>
        <v>3694.3032025583493</v>
      </c>
      <c r="H195" s="140">
        <f t="shared" si="16"/>
        <v>1348.5062306137274</v>
      </c>
      <c r="I195" s="140">
        <f>K194*D168/12</f>
        <v>2345.7969719446219</v>
      </c>
      <c r="J195" s="140">
        <f>IF(K194&gt;=(D169*D173),D172,0)</f>
        <v>0</v>
      </c>
      <c r="K195" s="140">
        <f t="shared" si="18"/>
        <v>449044.51238275366</v>
      </c>
      <c r="L195" s="141">
        <v>0</v>
      </c>
      <c r="M195" s="5"/>
    </row>
    <row r="196" spans="2:13" ht="15.75" customHeight="1" x14ac:dyDescent="0.25">
      <c r="B196" s="14"/>
      <c r="C196" s="123"/>
      <c r="D196" s="123"/>
      <c r="E196" s="123"/>
      <c r="F196" s="151">
        <v>168</v>
      </c>
      <c r="G196" s="140">
        <f t="shared" si="17"/>
        <v>3694.3032025583493</v>
      </c>
      <c r="H196" s="140">
        <f t="shared" si="16"/>
        <v>1355.5297005648408</v>
      </c>
      <c r="I196" s="140">
        <f>K195*D168/12</f>
        <v>2338.7735019935085</v>
      </c>
      <c r="J196" s="140">
        <f>IF(K195&gt;=(D169*D173),D172,0)</f>
        <v>0</v>
      </c>
      <c r="K196" s="140">
        <f t="shared" si="18"/>
        <v>447688.9826821888</v>
      </c>
      <c r="L196" s="141">
        <v>0</v>
      </c>
      <c r="M196" s="5"/>
    </row>
    <row r="197" spans="2:13" ht="15.75" customHeight="1" x14ac:dyDescent="0.25">
      <c r="B197" s="14"/>
      <c r="C197" s="123"/>
      <c r="D197" s="123"/>
      <c r="E197" s="123"/>
      <c r="F197" s="54">
        <v>169</v>
      </c>
      <c r="G197" s="140">
        <f t="shared" si="17"/>
        <v>3694.3032025583493</v>
      </c>
      <c r="H197" s="140">
        <f t="shared" si="16"/>
        <v>1362.5897510886161</v>
      </c>
      <c r="I197" s="140">
        <f>K196*D168/12</f>
        <v>2331.7134514697332</v>
      </c>
      <c r="J197" s="140">
        <f>IF(K196&gt;=(D169*D173),D172,0)</f>
        <v>0</v>
      </c>
      <c r="K197" s="140">
        <f t="shared" si="18"/>
        <v>446326.39293110016</v>
      </c>
      <c r="L197" s="141">
        <v>0</v>
      </c>
      <c r="M197" s="5"/>
    </row>
    <row r="198" spans="2:13" ht="15.75" customHeight="1" x14ac:dyDescent="0.25">
      <c r="B198" s="14"/>
      <c r="C198" s="123"/>
      <c r="D198" s="123"/>
      <c r="E198" s="123"/>
      <c r="F198" s="54">
        <v>170</v>
      </c>
      <c r="G198" s="140">
        <f t="shared" si="17"/>
        <v>3694.3032025583493</v>
      </c>
      <c r="H198" s="140">
        <f t="shared" si="16"/>
        <v>1369.6865727088693</v>
      </c>
      <c r="I198" s="140">
        <f>K197*D168/12</f>
        <v>2324.61662984948</v>
      </c>
      <c r="J198" s="140">
        <f>IF(K197&gt;=(D169*D173),D172,0)</f>
        <v>0</v>
      </c>
      <c r="K198" s="140">
        <f t="shared" si="18"/>
        <v>444956.70635839127</v>
      </c>
      <c r="L198" s="141">
        <v>0</v>
      </c>
      <c r="M198" s="5"/>
    </row>
    <row r="199" spans="2:13" ht="15.75" customHeight="1" x14ac:dyDescent="0.25">
      <c r="B199" s="14"/>
      <c r="C199" s="123"/>
      <c r="D199" s="123"/>
      <c r="E199" s="123"/>
      <c r="F199" s="54">
        <v>171</v>
      </c>
      <c r="G199" s="140">
        <f t="shared" si="17"/>
        <v>3694.3032025583493</v>
      </c>
      <c r="H199" s="140">
        <f t="shared" si="16"/>
        <v>1376.8203569417283</v>
      </c>
      <c r="I199" s="140">
        <f>K198*D168/12</f>
        <v>2317.482845616621</v>
      </c>
      <c r="J199" s="140">
        <f>IF(K198&gt;=(D169*D173),D172,0)</f>
        <v>0</v>
      </c>
      <c r="K199" s="140">
        <f t="shared" si="18"/>
        <v>443579.88600144954</v>
      </c>
      <c r="L199" s="141">
        <v>0</v>
      </c>
      <c r="M199" s="5"/>
    </row>
    <row r="200" spans="2:13" ht="15.75" customHeight="1" x14ac:dyDescent="0.25">
      <c r="B200" s="14"/>
      <c r="C200" s="123"/>
      <c r="D200" s="123"/>
      <c r="E200" s="123"/>
      <c r="F200" s="54">
        <v>172</v>
      </c>
      <c r="G200" s="140">
        <f t="shared" si="17"/>
        <v>3694.3032025583493</v>
      </c>
      <c r="H200" s="140">
        <f t="shared" si="16"/>
        <v>1383.9912963007996</v>
      </c>
      <c r="I200" s="140">
        <f>K199*D168/12</f>
        <v>2310.3119062575497</v>
      </c>
      <c r="J200" s="140">
        <f>IF(K199&gt;=(D169*D173),D172,0)</f>
        <v>0</v>
      </c>
      <c r="K200" s="140">
        <f t="shared" si="18"/>
        <v>442195.89470514876</v>
      </c>
      <c r="L200" s="141">
        <v>0</v>
      </c>
      <c r="M200" s="5"/>
    </row>
    <row r="201" spans="2:13" ht="15.75" customHeight="1" x14ac:dyDescent="0.25">
      <c r="B201" s="14"/>
      <c r="C201" s="123"/>
      <c r="D201" s="123"/>
      <c r="E201" s="123"/>
      <c r="F201" s="54">
        <v>173</v>
      </c>
      <c r="G201" s="140">
        <f t="shared" si="17"/>
        <v>3694.3032025583493</v>
      </c>
      <c r="H201" s="140">
        <f t="shared" si="16"/>
        <v>1391.199584302366</v>
      </c>
      <c r="I201" s="140">
        <f>K200*D168/12</f>
        <v>2303.1036182559833</v>
      </c>
      <c r="J201" s="140">
        <f>IF(K200&gt;=(D169*D173),D172,0)</f>
        <v>0</v>
      </c>
      <c r="K201" s="140">
        <f t="shared" si="18"/>
        <v>440804.69512084639</v>
      </c>
      <c r="L201" s="141">
        <v>0</v>
      </c>
      <c r="M201" s="5"/>
    </row>
    <row r="202" spans="2:13" ht="15.75" customHeight="1" x14ac:dyDescent="0.25">
      <c r="B202" s="14"/>
      <c r="C202" s="123"/>
      <c r="D202" s="123"/>
      <c r="E202" s="123"/>
      <c r="F202" s="54">
        <v>174</v>
      </c>
      <c r="G202" s="140">
        <f t="shared" si="17"/>
        <v>3694.3032025583493</v>
      </c>
      <c r="H202" s="140">
        <f t="shared" si="16"/>
        <v>1398.4454154706077</v>
      </c>
      <c r="I202" s="140">
        <f>K201*D168/12</f>
        <v>2295.8577870877416</v>
      </c>
      <c r="J202" s="140">
        <f>IF(K201&gt;=(D169*D173),D172,0)</f>
        <v>0</v>
      </c>
      <c r="K202" s="140">
        <f t="shared" si="18"/>
        <v>439406.24970537575</v>
      </c>
      <c r="L202" s="141">
        <v>0</v>
      </c>
      <c r="M202" s="5"/>
    </row>
    <row r="203" spans="2:13" ht="15.75" customHeight="1" x14ac:dyDescent="0.25">
      <c r="B203" s="14"/>
      <c r="C203" s="123"/>
      <c r="D203" s="123"/>
      <c r="E203" s="123"/>
      <c r="F203" s="54">
        <v>175</v>
      </c>
      <c r="G203" s="140">
        <f t="shared" si="17"/>
        <v>3694.3032025583493</v>
      </c>
      <c r="H203" s="140">
        <f t="shared" si="16"/>
        <v>1405.7289853428506</v>
      </c>
      <c r="I203" s="140">
        <f>K202*D168/12</f>
        <v>2288.5742172154987</v>
      </c>
      <c r="J203" s="140">
        <f>IF(K202&gt;=(D169*D173),D172,0)</f>
        <v>0</v>
      </c>
      <c r="K203" s="140">
        <f t="shared" si="18"/>
        <v>438000.52072003292</v>
      </c>
      <c r="L203" s="141">
        <v>0</v>
      </c>
      <c r="M203" s="5"/>
    </row>
    <row r="204" spans="2:13" ht="15.75" customHeight="1" x14ac:dyDescent="0.25">
      <c r="B204" s="14"/>
      <c r="C204" s="123"/>
      <c r="D204" s="123"/>
      <c r="E204" s="123"/>
      <c r="F204" s="54">
        <v>176</v>
      </c>
      <c r="G204" s="140">
        <f t="shared" si="17"/>
        <v>3694.3032025583493</v>
      </c>
      <c r="H204" s="140">
        <f t="shared" si="16"/>
        <v>1413.0504904748445</v>
      </c>
      <c r="I204" s="140">
        <f>K203*D168/12</f>
        <v>2281.2527120835048</v>
      </c>
      <c r="J204" s="140">
        <f>IF(K203&gt;=(D169*D173),D172,0)</f>
        <v>0</v>
      </c>
      <c r="K204" s="140">
        <f t="shared" si="18"/>
        <v>436587.47022955806</v>
      </c>
      <c r="L204" s="141">
        <v>0</v>
      </c>
      <c r="M204" s="5"/>
    </row>
    <row r="205" spans="2:13" ht="15.75" customHeight="1" x14ac:dyDescent="0.25">
      <c r="B205" s="14"/>
      <c r="C205" s="123"/>
      <c r="D205" s="123"/>
      <c r="E205" s="123"/>
      <c r="F205" s="54">
        <v>177</v>
      </c>
      <c r="G205" s="140">
        <f t="shared" si="17"/>
        <v>3694.3032025583493</v>
      </c>
      <c r="H205" s="140">
        <f t="shared" si="16"/>
        <v>1420.4101284460676</v>
      </c>
      <c r="I205" s="140">
        <f>K204*D168/12</f>
        <v>2273.8930741122817</v>
      </c>
      <c r="J205" s="140">
        <f>IF(K204&gt;=(D169*D173),D172,0)</f>
        <v>0</v>
      </c>
      <c r="K205" s="140">
        <f t="shared" si="18"/>
        <v>435167.060101112</v>
      </c>
      <c r="L205" s="141">
        <v>0</v>
      </c>
      <c r="M205" s="5"/>
    </row>
    <row r="206" spans="2:13" ht="15.75" customHeight="1" x14ac:dyDescent="0.25">
      <c r="B206" s="14"/>
      <c r="C206" s="123"/>
      <c r="D206" s="123"/>
      <c r="E206" s="123"/>
      <c r="F206" s="54">
        <v>178</v>
      </c>
      <c r="G206" s="140">
        <f t="shared" si="17"/>
        <v>3694.3032025583493</v>
      </c>
      <c r="H206" s="140">
        <f t="shared" si="16"/>
        <v>1427.8080978650578</v>
      </c>
      <c r="I206" s="140">
        <f>K205*D168/12</f>
        <v>2266.4951046932915</v>
      </c>
      <c r="J206" s="140">
        <f>IF(K205&gt;=(D169*D173),D172,0)</f>
        <v>0</v>
      </c>
      <c r="K206" s="140">
        <f t="shared" si="18"/>
        <v>433739.25200324692</v>
      </c>
      <c r="L206" s="141">
        <v>0</v>
      </c>
      <c r="M206" s="5"/>
    </row>
    <row r="207" spans="2:13" ht="15.75" customHeight="1" x14ac:dyDescent="0.25">
      <c r="B207" s="14"/>
      <c r="C207" s="123"/>
      <c r="D207" s="123"/>
      <c r="E207" s="123"/>
      <c r="F207" s="54">
        <v>179</v>
      </c>
      <c r="G207" s="140">
        <f t="shared" si="17"/>
        <v>3694.3032025583493</v>
      </c>
      <c r="H207" s="140">
        <f t="shared" si="16"/>
        <v>1435.2445983747716</v>
      </c>
      <c r="I207" s="140">
        <f>K206*D168/12</f>
        <v>2259.0586041835777</v>
      </c>
      <c r="J207" s="140">
        <f>IF(K206&gt;=(D169*D173),D172,0)</f>
        <v>0</v>
      </c>
      <c r="K207" s="140">
        <f t="shared" si="18"/>
        <v>432304.00740487216</v>
      </c>
      <c r="L207" s="141">
        <v>0</v>
      </c>
      <c r="M207" s="5"/>
    </row>
    <row r="208" spans="2:13" ht="15.75" customHeight="1" x14ac:dyDescent="0.25">
      <c r="B208" s="14"/>
      <c r="C208" s="123"/>
      <c r="D208" s="123"/>
      <c r="E208" s="123"/>
      <c r="F208" s="151">
        <v>180</v>
      </c>
      <c r="G208" s="140">
        <f t="shared" si="17"/>
        <v>3694.3032025583493</v>
      </c>
      <c r="H208" s="140">
        <f t="shared" si="16"/>
        <v>1442.7198306579735</v>
      </c>
      <c r="I208" s="140">
        <f>K207*D168/12</f>
        <v>2251.5833719003758</v>
      </c>
      <c r="J208" s="140">
        <f>IF(K207&gt;=(D169*D173),D172,0)</f>
        <v>0</v>
      </c>
      <c r="K208" s="140">
        <f t="shared" si="18"/>
        <v>430861.28757421416</v>
      </c>
      <c r="L208" s="141">
        <v>0</v>
      </c>
      <c r="M208" s="5"/>
    </row>
    <row r="209" spans="2:13" ht="15.75" customHeight="1" x14ac:dyDescent="0.25">
      <c r="B209" s="14"/>
      <c r="C209" s="137" t="s">
        <v>114</v>
      </c>
      <c r="D209" s="138">
        <f t="shared" ref="D209:D214" si="19">D168</f>
        <v>6.25E-2</v>
      </c>
      <c r="E209" s="139"/>
      <c r="F209" s="54">
        <v>181</v>
      </c>
      <c r="G209" s="140">
        <f t="shared" si="17"/>
        <v>3694.3032025583493</v>
      </c>
      <c r="H209" s="140">
        <f t="shared" si="16"/>
        <v>1450.2339964426506</v>
      </c>
      <c r="I209" s="140">
        <f>K208*D209/12</f>
        <v>2244.0692061156988</v>
      </c>
      <c r="J209" s="140">
        <f>IF(K208&gt;=(D210*D214),D213,0)</f>
        <v>0</v>
      </c>
      <c r="K209" s="140">
        <f t="shared" si="18"/>
        <v>429411.05357777153</v>
      </c>
      <c r="L209" s="141">
        <v>0</v>
      </c>
      <c r="M209" s="5"/>
    </row>
    <row r="210" spans="2:13" ht="15.75" customHeight="1" x14ac:dyDescent="0.25">
      <c r="B210" s="14"/>
      <c r="C210" s="142" t="s">
        <v>3</v>
      </c>
      <c r="D210" s="143">
        <f t="shared" si="19"/>
        <v>750000</v>
      </c>
      <c r="E210" s="144"/>
      <c r="F210" s="54">
        <v>182</v>
      </c>
      <c r="G210" s="140">
        <f t="shared" si="17"/>
        <v>3694.3032025583493</v>
      </c>
      <c r="H210" s="140">
        <f t="shared" si="16"/>
        <v>1457.7872985074559</v>
      </c>
      <c r="I210" s="140">
        <f>K209*D209/12</f>
        <v>2236.5159040508934</v>
      </c>
      <c r="J210" s="140">
        <f>IF(K209&gt;=(D210*D214),D213,0)</f>
        <v>0</v>
      </c>
      <c r="K210" s="140">
        <f t="shared" si="18"/>
        <v>427953.26627926406</v>
      </c>
      <c r="L210" s="141">
        <v>0</v>
      </c>
      <c r="M210" s="5"/>
    </row>
    <row r="211" spans="2:13" ht="15.75" customHeight="1" x14ac:dyDescent="0.25">
      <c r="B211" s="14"/>
      <c r="C211" s="142" t="s">
        <v>111</v>
      </c>
      <c r="D211" s="143">
        <f t="shared" si="19"/>
        <v>600000</v>
      </c>
      <c r="E211" s="144"/>
      <c r="F211" s="54">
        <v>183</v>
      </c>
      <c r="G211" s="140">
        <f t="shared" si="17"/>
        <v>3694.3032025583493</v>
      </c>
      <c r="H211" s="140">
        <f t="shared" si="16"/>
        <v>1465.3799406871822</v>
      </c>
      <c r="I211" s="140">
        <f>K210*D209/12</f>
        <v>2228.9232618711671</v>
      </c>
      <c r="J211" s="140">
        <f>IF(K210&gt;=(D210*D214),D213,0)</f>
        <v>0</v>
      </c>
      <c r="K211" s="140">
        <f t="shared" si="18"/>
        <v>426487.88633857691</v>
      </c>
      <c r="L211" s="141">
        <v>0</v>
      </c>
      <c r="M211" s="5"/>
    </row>
    <row r="212" spans="2:13" ht="15.75" customHeight="1" x14ac:dyDescent="0.25">
      <c r="B212" s="14"/>
      <c r="C212" s="142" t="s">
        <v>112</v>
      </c>
      <c r="D212" s="145">
        <f t="shared" si="19"/>
        <v>360</v>
      </c>
      <c r="E212" s="123"/>
      <c r="F212" s="54">
        <v>184</v>
      </c>
      <c r="G212" s="140">
        <f t="shared" si="17"/>
        <v>3694.3032025583493</v>
      </c>
      <c r="H212" s="140">
        <f t="shared" si="16"/>
        <v>1473.0121278782613</v>
      </c>
      <c r="I212" s="140">
        <f>K211*D209/12</f>
        <v>2221.2910746800881</v>
      </c>
      <c r="J212" s="140">
        <f>IF(K211&gt;=(D210*D214),D213,0)</f>
        <v>0</v>
      </c>
      <c r="K212" s="140">
        <f t="shared" si="18"/>
        <v>425014.87421069865</v>
      </c>
      <c r="L212" s="141">
        <v>0</v>
      </c>
      <c r="M212" s="5"/>
    </row>
    <row r="213" spans="2:13" ht="15.75" customHeight="1" x14ac:dyDescent="0.25">
      <c r="B213" s="14"/>
      <c r="C213" s="142" t="s">
        <v>32</v>
      </c>
      <c r="D213" s="146" t="str">
        <f t="shared" si="19"/>
        <v/>
      </c>
      <c r="E213" s="147"/>
      <c r="F213" s="54">
        <v>185</v>
      </c>
      <c r="G213" s="140">
        <f t="shared" si="17"/>
        <v>3694.3032025583493</v>
      </c>
      <c r="H213" s="140">
        <f t="shared" si="16"/>
        <v>1480.684066044294</v>
      </c>
      <c r="I213" s="140">
        <f>K212*D209/12</f>
        <v>2213.6191365140553</v>
      </c>
      <c r="J213" s="140">
        <f>IF(K212&gt;=(D210*D214),D213,0)</f>
        <v>0</v>
      </c>
      <c r="K213" s="140">
        <f t="shared" si="18"/>
        <v>423534.19014465436</v>
      </c>
      <c r="L213" s="141">
        <v>0</v>
      </c>
      <c r="M213" s="5"/>
    </row>
    <row r="214" spans="2:13" ht="15.75" customHeight="1" x14ac:dyDescent="0.25">
      <c r="B214" s="14"/>
      <c r="C214" s="148" t="s">
        <v>113</v>
      </c>
      <c r="D214" s="149">
        <f t="shared" si="19"/>
        <v>0.8</v>
      </c>
      <c r="E214" s="150"/>
      <c r="F214" s="54">
        <v>186</v>
      </c>
      <c r="G214" s="140">
        <f t="shared" si="17"/>
        <v>3694.3032025583493</v>
      </c>
      <c r="H214" s="140">
        <f t="shared" si="16"/>
        <v>1488.395962221608</v>
      </c>
      <c r="I214" s="140">
        <f>K213*D209/12</f>
        <v>2205.9072403367413</v>
      </c>
      <c r="J214" s="140">
        <f>IF(K213&gt;=(D210*D214),D213,0)</f>
        <v>0</v>
      </c>
      <c r="K214" s="140">
        <f t="shared" si="18"/>
        <v>422045.79418243276</v>
      </c>
      <c r="L214" s="141">
        <v>0</v>
      </c>
      <c r="M214" s="5"/>
    </row>
    <row r="215" spans="2:13" ht="15.75" customHeight="1" x14ac:dyDescent="0.25">
      <c r="B215" s="14"/>
      <c r="C215" s="123"/>
      <c r="D215" s="123"/>
      <c r="E215" s="123"/>
      <c r="F215" s="54">
        <v>187</v>
      </c>
      <c r="G215" s="140">
        <f t="shared" si="17"/>
        <v>3694.3032025583493</v>
      </c>
      <c r="H215" s="140">
        <f t="shared" si="16"/>
        <v>1496.1480245248454</v>
      </c>
      <c r="I215" s="140">
        <f>K214*D209/12</f>
        <v>2198.1551780335039</v>
      </c>
      <c r="J215" s="140">
        <f>IF(K214&gt;=(D210*D214),D213,0)</f>
        <v>0</v>
      </c>
      <c r="K215" s="140">
        <f t="shared" si="18"/>
        <v>420549.6461579079</v>
      </c>
      <c r="L215" s="141">
        <v>0</v>
      </c>
      <c r="M215" s="5"/>
    </row>
    <row r="216" spans="2:13" ht="15.75" customHeight="1" x14ac:dyDescent="0.25">
      <c r="B216" s="14"/>
      <c r="C216" s="123"/>
      <c r="D216" s="123"/>
      <c r="E216" s="123"/>
      <c r="F216" s="54">
        <v>188</v>
      </c>
      <c r="G216" s="140">
        <f t="shared" si="17"/>
        <v>3694.3032025583493</v>
      </c>
      <c r="H216" s="140">
        <f t="shared" si="16"/>
        <v>1503.9404621525791</v>
      </c>
      <c r="I216" s="140">
        <f>K215*D209/12</f>
        <v>2190.3627404057702</v>
      </c>
      <c r="J216" s="140">
        <f>IF(K215&gt;=(D210*D214),D213,0)</f>
        <v>0</v>
      </c>
      <c r="K216" s="140">
        <f t="shared" si="18"/>
        <v>419045.70569575531</v>
      </c>
      <c r="L216" s="141">
        <v>0</v>
      </c>
      <c r="M216" s="5"/>
    </row>
    <row r="217" spans="2:13" ht="15.75" customHeight="1" x14ac:dyDescent="0.25">
      <c r="B217" s="14"/>
      <c r="C217" s="123"/>
      <c r="D217" s="123"/>
      <c r="E217" s="123"/>
      <c r="F217" s="54">
        <v>189</v>
      </c>
      <c r="G217" s="140">
        <f t="shared" si="17"/>
        <v>3694.3032025583493</v>
      </c>
      <c r="H217" s="140">
        <f t="shared" si="16"/>
        <v>1511.7734853929569</v>
      </c>
      <c r="I217" s="140">
        <f>K216*D209/12</f>
        <v>2182.5297171653924</v>
      </c>
      <c r="J217" s="140">
        <f>IF(K216&gt;=(D210*D214),D213,0)</f>
        <v>0</v>
      </c>
      <c r="K217" s="140">
        <f t="shared" si="18"/>
        <v>417533.93221036234</v>
      </c>
      <c r="L217" s="141">
        <v>0</v>
      </c>
      <c r="M217" s="5"/>
    </row>
    <row r="218" spans="2:13" ht="15.75" customHeight="1" x14ac:dyDescent="0.25">
      <c r="B218" s="14"/>
      <c r="C218" s="147"/>
      <c r="D218" s="123"/>
      <c r="E218" s="123"/>
      <c r="F218" s="54">
        <v>190</v>
      </c>
      <c r="G218" s="140">
        <f t="shared" si="17"/>
        <v>3694.3032025583493</v>
      </c>
      <c r="H218" s="140">
        <f t="shared" si="16"/>
        <v>1519.6473056293789</v>
      </c>
      <c r="I218" s="140">
        <f>K217*D209/12</f>
        <v>2174.6558969289704</v>
      </c>
      <c r="J218" s="140">
        <f>IF(K217&gt;=(D210*D214),D213,0)</f>
        <v>0</v>
      </c>
      <c r="K218" s="140">
        <f t="shared" si="18"/>
        <v>416014.28490473295</v>
      </c>
      <c r="L218" s="141">
        <v>0</v>
      </c>
      <c r="M218" s="5"/>
    </row>
    <row r="219" spans="2:13" ht="15.75" customHeight="1" x14ac:dyDescent="0.25">
      <c r="B219" s="14"/>
      <c r="C219" s="123"/>
      <c r="D219" s="123"/>
      <c r="E219" s="123"/>
      <c r="F219" s="54">
        <v>191</v>
      </c>
      <c r="G219" s="140">
        <f t="shared" si="17"/>
        <v>3694.3032025583493</v>
      </c>
      <c r="H219" s="140">
        <f t="shared" si="16"/>
        <v>1527.5621353461984</v>
      </c>
      <c r="I219" s="140">
        <f>K218*D209/12</f>
        <v>2166.7410672121509</v>
      </c>
      <c r="J219" s="140">
        <f>IF(K218&gt;=(D210*D214),D213,0)</f>
        <v>0</v>
      </c>
      <c r="K219" s="140">
        <f t="shared" si="18"/>
        <v>414486.72276938678</v>
      </c>
      <c r="L219" s="141">
        <v>0</v>
      </c>
      <c r="M219" s="5"/>
    </row>
    <row r="220" spans="2:13" ht="15.75" customHeight="1" x14ac:dyDescent="0.25">
      <c r="B220" s="14"/>
      <c r="C220" s="123"/>
      <c r="D220" s="123"/>
      <c r="E220" s="123"/>
      <c r="F220" s="151">
        <v>192</v>
      </c>
      <c r="G220" s="140">
        <f t="shared" si="17"/>
        <v>3694.3032025583493</v>
      </c>
      <c r="H220" s="140">
        <f t="shared" si="16"/>
        <v>1535.5181881344597</v>
      </c>
      <c r="I220" s="140">
        <f>K219*D209/12</f>
        <v>2158.7850144238896</v>
      </c>
      <c r="J220" s="140">
        <f>IF(K219&gt;=(D210*D214),D213,0)</f>
        <v>0</v>
      </c>
      <c r="K220" s="140">
        <f t="shared" si="18"/>
        <v>412951.2045812523</v>
      </c>
      <c r="L220" s="141">
        <v>0</v>
      </c>
      <c r="M220" s="5"/>
    </row>
    <row r="221" spans="2:13" ht="15.75" customHeight="1" x14ac:dyDescent="0.25">
      <c r="B221" s="14"/>
      <c r="C221" s="123"/>
      <c r="D221" s="123"/>
      <c r="E221" s="123"/>
      <c r="F221" s="54">
        <v>193</v>
      </c>
      <c r="G221" s="140">
        <f t="shared" si="17"/>
        <v>3694.3032025583493</v>
      </c>
      <c r="H221" s="140">
        <f t="shared" si="16"/>
        <v>1543.5156786976604</v>
      </c>
      <c r="I221" s="140">
        <f>K220*D209/12</f>
        <v>2150.7875238606889</v>
      </c>
      <c r="J221" s="140">
        <f>IF(K220&gt;=(D210*D214),D213,0)</f>
        <v>0</v>
      </c>
      <c r="K221" s="140">
        <f t="shared" si="18"/>
        <v>411407.68890255463</v>
      </c>
      <c r="L221" s="141">
        <v>0</v>
      </c>
      <c r="M221" s="5"/>
    </row>
    <row r="222" spans="2:13" ht="15.75" customHeight="1" x14ac:dyDescent="0.25">
      <c r="B222" s="14"/>
      <c r="C222" s="123"/>
      <c r="D222" s="123"/>
      <c r="E222" s="123"/>
      <c r="F222" s="162">
        <v>194</v>
      </c>
      <c r="G222" s="140">
        <f t="shared" si="17"/>
        <v>3694.3032025583493</v>
      </c>
      <c r="H222" s="140">
        <f t="shared" si="16"/>
        <v>1551.554822857544</v>
      </c>
      <c r="I222" s="140">
        <f>K221*D209/12</f>
        <v>2142.7483797008053</v>
      </c>
      <c r="J222" s="140">
        <f>IF(K221&gt;=(D210*D214),D213,0)</f>
        <v>0</v>
      </c>
      <c r="K222" s="140">
        <f t="shared" si="18"/>
        <v>409856.13407969708</v>
      </c>
      <c r="L222" s="141">
        <v>0</v>
      </c>
      <c r="M222" s="5"/>
    </row>
    <row r="223" spans="2:13" ht="15.75" customHeight="1" x14ac:dyDescent="0.25">
      <c r="B223" s="14"/>
      <c r="C223" s="123"/>
      <c r="D223" s="123"/>
      <c r="E223" s="123"/>
      <c r="F223" s="54">
        <v>195</v>
      </c>
      <c r="G223" s="140">
        <f t="shared" si="17"/>
        <v>3694.3032025583493</v>
      </c>
      <c r="H223" s="140">
        <f t="shared" si="16"/>
        <v>1559.635837559927</v>
      </c>
      <c r="I223" s="140">
        <f>K222*D209/12</f>
        <v>2134.6673649984223</v>
      </c>
      <c r="J223" s="140">
        <f>IF(K222&gt;=(D210*D214),D213,0)</f>
        <v>0</v>
      </c>
      <c r="K223" s="140">
        <f t="shared" si="18"/>
        <v>408296.49824213714</v>
      </c>
      <c r="L223" s="141">
        <v>0</v>
      </c>
      <c r="M223" s="5"/>
    </row>
    <row r="224" spans="2:13" ht="15.75" customHeight="1" x14ac:dyDescent="0.25">
      <c r="B224" s="14"/>
      <c r="C224" s="123"/>
      <c r="D224" s="123"/>
      <c r="E224" s="123"/>
      <c r="F224" s="54">
        <v>196</v>
      </c>
      <c r="G224" s="140">
        <f t="shared" si="17"/>
        <v>3694.3032025583493</v>
      </c>
      <c r="H224" s="140">
        <f t="shared" si="16"/>
        <v>1567.7589408805516</v>
      </c>
      <c r="I224" s="140">
        <f>K223*D209/12</f>
        <v>2126.5442616777977</v>
      </c>
      <c r="J224" s="140">
        <f>IF(K223&gt;=(D210*D214),D213,0)</f>
        <v>0</v>
      </c>
      <c r="K224" s="140">
        <f t="shared" si="18"/>
        <v>406728.7393012566</v>
      </c>
      <c r="L224" s="141">
        <v>0</v>
      </c>
      <c r="M224" s="5"/>
    </row>
    <row r="225" spans="1:26" ht="15.75" customHeight="1" x14ac:dyDescent="0.25">
      <c r="B225" s="14"/>
      <c r="C225" s="123"/>
      <c r="D225" s="123"/>
      <c r="E225" s="123"/>
      <c r="F225" s="54">
        <v>197</v>
      </c>
      <c r="G225" s="140">
        <f t="shared" si="17"/>
        <v>3694.3032025583493</v>
      </c>
      <c r="H225" s="140">
        <f t="shared" si="16"/>
        <v>1575.924352030971</v>
      </c>
      <c r="I225" s="140">
        <f>K224*D209/12</f>
        <v>2118.3788505273783</v>
      </c>
      <c r="J225" s="140">
        <f>IF(K224&gt;=(D210*D214),D213,0)</f>
        <v>0</v>
      </c>
      <c r="K225" s="140">
        <f t="shared" si="18"/>
        <v>405152.81494922563</v>
      </c>
      <c r="L225" s="141">
        <v>0</v>
      </c>
      <c r="M225" s="5"/>
    </row>
    <row r="226" spans="1:26" ht="15.75" customHeight="1" x14ac:dyDescent="0.25">
      <c r="B226" s="14"/>
      <c r="C226" s="123"/>
      <c r="D226" s="123"/>
      <c r="E226" s="123"/>
      <c r="F226" s="54">
        <v>198</v>
      </c>
      <c r="G226" s="140">
        <f t="shared" si="17"/>
        <v>3694.3032025583493</v>
      </c>
      <c r="H226" s="140">
        <f t="shared" si="16"/>
        <v>1584.1322913644658</v>
      </c>
      <c r="I226" s="140">
        <f>K225*D209/12</f>
        <v>2110.1709111938835</v>
      </c>
      <c r="J226" s="140">
        <f>IF(K225&gt;=(D210*D214),D213,0)</f>
        <v>0</v>
      </c>
      <c r="K226" s="140">
        <f t="shared" si="18"/>
        <v>403568.68265786115</v>
      </c>
      <c r="L226" s="141">
        <v>0</v>
      </c>
      <c r="M226" s="5"/>
    </row>
    <row r="227" spans="1:26" ht="15.75" customHeight="1" x14ac:dyDescent="0.25">
      <c r="B227" s="14"/>
      <c r="C227" s="123"/>
      <c r="D227" s="123"/>
      <c r="E227" s="123"/>
      <c r="F227" s="54">
        <v>199</v>
      </c>
      <c r="G227" s="140">
        <f t="shared" si="17"/>
        <v>3694.3032025583493</v>
      </c>
      <c r="H227" s="140">
        <f t="shared" si="16"/>
        <v>1592.382980381989</v>
      </c>
      <c r="I227" s="140">
        <f>K226*D209/12</f>
        <v>2101.9202221763603</v>
      </c>
      <c r="J227" s="140">
        <f>IF(K226&gt;=(D210*D214),D213,0)</f>
        <v>0</v>
      </c>
      <c r="K227" s="140">
        <f t="shared" si="18"/>
        <v>401976.29967747914</v>
      </c>
      <c r="L227" s="141">
        <v>0</v>
      </c>
      <c r="M227" s="5"/>
    </row>
    <row r="228" spans="1:26" ht="15.75" customHeight="1" x14ac:dyDescent="0.25">
      <c r="B228" s="14"/>
      <c r="C228" s="123"/>
      <c r="D228" s="123"/>
      <c r="E228" s="123"/>
      <c r="F228" s="54">
        <v>200</v>
      </c>
      <c r="G228" s="140">
        <f t="shared" si="17"/>
        <v>3694.3032025583493</v>
      </c>
      <c r="H228" s="140">
        <f t="shared" si="16"/>
        <v>1600.6766417381455</v>
      </c>
      <c r="I228" s="140">
        <f>K227*D209/12</f>
        <v>2093.6265608202038</v>
      </c>
      <c r="J228" s="140">
        <f>IF(K227&gt;=(D210*D214),D213,0)</f>
        <v>0</v>
      </c>
      <c r="K228" s="140">
        <f t="shared" si="18"/>
        <v>400375.62303574098</v>
      </c>
      <c r="L228" s="141">
        <v>0</v>
      </c>
      <c r="M228" s="5"/>
    </row>
    <row r="229" spans="1:26" ht="15.75" customHeight="1" x14ac:dyDescent="0.25">
      <c r="B229" s="14"/>
      <c r="C229" s="123"/>
      <c r="D229" s="123"/>
      <c r="E229" s="123"/>
      <c r="F229" s="54">
        <v>201</v>
      </c>
      <c r="G229" s="140">
        <f t="shared" si="17"/>
        <v>3694.3032025583493</v>
      </c>
      <c r="H229" s="140">
        <f t="shared" si="16"/>
        <v>1609.0134992471985</v>
      </c>
      <c r="I229" s="140">
        <f>K228*D209/12</f>
        <v>2085.2897033111508</v>
      </c>
      <c r="J229" s="140">
        <f>IF(K228&gt;=(D210*D214),D213,0)</f>
        <v>0</v>
      </c>
      <c r="K229" s="140">
        <f t="shared" si="18"/>
        <v>398766.60953649378</v>
      </c>
      <c r="L229" s="141">
        <v>0</v>
      </c>
      <c r="M229" s="5"/>
    </row>
    <row r="230" spans="1:26" ht="15.75" customHeight="1" x14ac:dyDescent="0.25">
      <c r="B230" s="14"/>
      <c r="C230" s="123"/>
      <c r="D230" s="123"/>
      <c r="E230" s="123"/>
      <c r="F230" s="54">
        <v>202</v>
      </c>
      <c r="G230" s="140">
        <f t="shared" si="17"/>
        <v>3694.3032025583493</v>
      </c>
      <c r="H230" s="140">
        <f t="shared" si="16"/>
        <v>1617.3937778891109</v>
      </c>
      <c r="I230" s="140">
        <f>K229*D209/12</f>
        <v>2076.9094246692384</v>
      </c>
      <c r="J230" s="140">
        <f>IF(K229&gt;=(D210*D214),D213,0)</f>
        <v>0</v>
      </c>
      <c r="K230" s="140">
        <f t="shared" si="18"/>
        <v>397149.2157586047</v>
      </c>
      <c r="L230" s="141">
        <v>0</v>
      </c>
      <c r="M230" s="5"/>
    </row>
    <row r="231" spans="1:26" ht="15.75" customHeight="1" x14ac:dyDescent="0.25">
      <c r="B231" s="14"/>
      <c r="C231" s="123"/>
      <c r="D231" s="123"/>
      <c r="E231" s="123"/>
      <c r="F231" s="54">
        <v>203</v>
      </c>
      <c r="G231" s="140">
        <f t="shared" si="17"/>
        <v>3694.3032025583493</v>
      </c>
      <c r="H231" s="140">
        <f t="shared" si="16"/>
        <v>1625.8177038156164</v>
      </c>
      <c r="I231" s="140">
        <f>K230*D209/12</f>
        <v>2068.4854987427329</v>
      </c>
      <c r="J231" s="140">
        <f>IF(K230&gt;=(D210*D214),D213,0)</f>
        <v>0</v>
      </c>
      <c r="K231" s="140">
        <f t="shared" si="18"/>
        <v>395523.39805478905</v>
      </c>
      <c r="L231" s="141">
        <v>0</v>
      </c>
      <c r="M231" s="5"/>
    </row>
    <row r="232" spans="1:26" ht="15.75" customHeight="1" x14ac:dyDescent="0.25">
      <c r="B232" s="14"/>
      <c r="C232" s="123"/>
      <c r="D232" s="123"/>
      <c r="E232" s="123"/>
      <c r="F232" s="152">
        <v>204</v>
      </c>
      <c r="G232" s="153">
        <f t="shared" si="17"/>
        <v>3694.3032025583493</v>
      </c>
      <c r="H232" s="153">
        <f t="shared" si="16"/>
        <v>1634.2855043563231</v>
      </c>
      <c r="I232" s="153">
        <f>K231*D209/12</f>
        <v>2060.0176982020262</v>
      </c>
      <c r="J232" s="153">
        <f>IF(K231&gt;=(D210*D214),D213,0)</f>
        <v>0</v>
      </c>
      <c r="K232" s="153">
        <f t="shared" si="18"/>
        <v>393889.11255043274</v>
      </c>
      <c r="L232" s="154">
        <v>0</v>
      </c>
      <c r="M232" s="5"/>
    </row>
    <row r="233" spans="1:26" ht="11.25" customHeight="1" x14ac:dyDescent="0.25">
      <c r="B233" s="62"/>
      <c r="C233" s="155"/>
      <c r="D233" s="155"/>
      <c r="E233" s="155"/>
      <c r="F233" s="156"/>
      <c r="G233" s="157"/>
      <c r="H233" s="157"/>
      <c r="I233" s="157"/>
      <c r="J233" s="157"/>
      <c r="K233" s="157"/>
      <c r="L233" s="158"/>
      <c r="M233" s="64"/>
    </row>
    <row r="234" spans="1:26" ht="11.25" customHeight="1" x14ac:dyDescent="0.25">
      <c r="C234" s="120"/>
      <c r="D234" s="120"/>
      <c r="E234" s="120"/>
      <c r="F234" s="159"/>
      <c r="G234" s="140"/>
      <c r="H234" s="140"/>
      <c r="I234" s="140"/>
      <c r="J234" s="140"/>
      <c r="K234" s="140"/>
      <c r="L234" s="56"/>
    </row>
    <row r="235" spans="1:26" ht="11.25" customHeight="1" x14ac:dyDescent="0.25">
      <c r="B235" s="1"/>
      <c r="C235" s="160"/>
      <c r="D235" s="121"/>
      <c r="E235" s="121"/>
      <c r="F235" s="121"/>
      <c r="G235" s="121"/>
      <c r="H235" s="121"/>
      <c r="I235" s="121"/>
      <c r="J235" s="121"/>
      <c r="K235" s="121"/>
      <c r="L235" s="161"/>
      <c r="M235" s="3"/>
    </row>
    <row r="236" spans="1:26" ht="22.5" customHeight="1" x14ac:dyDescent="0.25">
      <c r="A236" s="129"/>
      <c r="B236" s="130"/>
      <c r="C236" s="131"/>
      <c r="D236" s="131"/>
      <c r="E236" s="131"/>
      <c r="F236" s="132" t="s">
        <v>103</v>
      </c>
      <c r="G236" s="133" t="s">
        <v>104</v>
      </c>
      <c r="H236" s="133" t="s">
        <v>105</v>
      </c>
      <c r="I236" s="133" t="s">
        <v>106</v>
      </c>
      <c r="J236" s="133" t="s">
        <v>107</v>
      </c>
      <c r="K236" s="133" t="s">
        <v>108</v>
      </c>
      <c r="L236" s="134" t="s">
        <v>109</v>
      </c>
      <c r="M236" s="135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spans="1:26" ht="11.25" customHeight="1" x14ac:dyDescent="0.25">
      <c r="B237" s="14"/>
      <c r="C237" s="123"/>
      <c r="D237" s="123"/>
      <c r="E237" s="123"/>
      <c r="F237" s="75"/>
      <c r="G237" s="76"/>
      <c r="H237" s="76"/>
      <c r="I237" s="76"/>
      <c r="J237" s="76"/>
      <c r="K237" s="76"/>
      <c r="L237" s="136"/>
      <c r="M237" s="5"/>
    </row>
    <row r="238" spans="1:26" ht="15.75" customHeight="1" x14ac:dyDescent="0.25">
      <c r="B238" s="14"/>
      <c r="C238" s="123"/>
      <c r="D238" s="123"/>
      <c r="E238" s="123"/>
      <c r="F238" s="54">
        <v>205</v>
      </c>
      <c r="G238" s="140">
        <f>IF(K232=0,0,G232)</f>
        <v>3694.3032025583493</v>
      </c>
      <c r="H238" s="140">
        <f t="shared" ref="H238:H279" si="20">G238-I238</f>
        <v>1642.7974080248455</v>
      </c>
      <c r="I238" s="140">
        <f>K232*D209/12</f>
        <v>2051.5057945335038</v>
      </c>
      <c r="J238" s="140">
        <f>IF(K232&gt;=(D210*D214),D213,0)</f>
        <v>0</v>
      </c>
      <c r="K238" s="140">
        <f>IF(K232-H238-L238&gt;0,K232-H238-L238,0)</f>
        <v>392246.3151424079</v>
      </c>
      <c r="L238" s="141">
        <v>0</v>
      </c>
      <c r="M238" s="5"/>
    </row>
    <row r="239" spans="1:26" ht="15.75" customHeight="1" x14ac:dyDescent="0.25">
      <c r="B239" s="14"/>
      <c r="C239" s="123"/>
      <c r="D239" s="123"/>
      <c r="E239" s="123"/>
      <c r="F239" s="162">
        <v>206</v>
      </c>
      <c r="G239" s="140">
        <f t="shared" ref="G239:G279" si="21">IF(K238=0,0,G238)</f>
        <v>3694.3032025583493</v>
      </c>
      <c r="H239" s="140">
        <f t="shared" si="20"/>
        <v>1651.3536445249749</v>
      </c>
      <c r="I239" s="140">
        <f>K238*D209/12</f>
        <v>2042.9495580333744</v>
      </c>
      <c r="J239" s="140">
        <f>IF(K238&gt;=(D210*D214),D213,0)</f>
        <v>0</v>
      </c>
      <c r="K239" s="140">
        <f t="shared" ref="K239:K279" si="22">IF(K238-H239-L239&gt;0,K238-H239-L239,)</f>
        <v>390594.9614978829</v>
      </c>
      <c r="L239" s="141">
        <v>0</v>
      </c>
      <c r="M239" s="5"/>
    </row>
    <row r="240" spans="1:26" ht="15.75" customHeight="1" x14ac:dyDescent="0.25">
      <c r="B240" s="14"/>
      <c r="C240" s="123"/>
      <c r="D240" s="123"/>
      <c r="E240" s="123"/>
      <c r="F240" s="54">
        <v>207</v>
      </c>
      <c r="G240" s="140">
        <f t="shared" si="21"/>
        <v>3694.3032025583493</v>
      </c>
      <c r="H240" s="140">
        <f t="shared" si="20"/>
        <v>1659.9544447568758</v>
      </c>
      <c r="I240" s="140">
        <f>K239*D209/12</f>
        <v>2034.3487578014735</v>
      </c>
      <c r="J240" s="140">
        <f>IF(K239&gt;=(D210*D214),D213,0)</f>
        <v>0</v>
      </c>
      <c r="K240" s="140">
        <f t="shared" si="22"/>
        <v>388935.00705312606</v>
      </c>
      <c r="L240" s="141">
        <v>0</v>
      </c>
      <c r="M240" s="5"/>
    </row>
    <row r="241" spans="2:13" ht="15.75" customHeight="1" x14ac:dyDescent="0.25">
      <c r="B241" s="14"/>
      <c r="C241" s="123"/>
      <c r="D241" s="123"/>
      <c r="E241" s="123"/>
      <c r="F241" s="54">
        <v>208</v>
      </c>
      <c r="G241" s="140">
        <f t="shared" si="21"/>
        <v>3694.3032025583493</v>
      </c>
      <c r="H241" s="140">
        <f t="shared" si="20"/>
        <v>1668.6000408233178</v>
      </c>
      <c r="I241" s="140">
        <f>K240*D209/12</f>
        <v>2025.7031617350315</v>
      </c>
      <c r="J241" s="140">
        <f>IF(K240&gt;=(D210*D214),D213,0)</f>
        <v>0</v>
      </c>
      <c r="K241" s="140">
        <f t="shared" si="22"/>
        <v>387266.40701230272</v>
      </c>
      <c r="L241" s="141">
        <v>0</v>
      </c>
      <c r="M241" s="5"/>
    </row>
    <row r="242" spans="2:13" ht="15.75" customHeight="1" x14ac:dyDescent="0.25">
      <c r="B242" s="14"/>
      <c r="C242" s="123"/>
      <c r="D242" s="123"/>
      <c r="E242" s="123"/>
      <c r="F242" s="54">
        <v>209</v>
      </c>
      <c r="G242" s="140">
        <f t="shared" si="21"/>
        <v>3694.3032025583493</v>
      </c>
      <c r="H242" s="140">
        <f t="shared" si="20"/>
        <v>1677.2906660359392</v>
      </c>
      <c r="I242" s="140">
        <f>K241*D209/12</f>
        <v>2017.0125365224101</v>
      </c>
      <c r="J242" s="140">
        <f>IF(K241&gt;=(D210*D214),D213,0)</f>
        <v>0</v>
      </c>
      <c r="K242" s="140">
        <f t="shared" si="22"/>
        <v>385589.11634626676</v>
      </c>
      <c r="L242" s="141">
        <v>0</v>
      </c>
      <c r="M242" s="5"/>
    </row>
    <row r="243" spans="2:13" ht="15.75" customHeight="1" x14ac:dyDescent="0.25">
      <c r="B243" s="14"/>
      <c r="C243" s="123"/>
      <c r="D243" s="123"/>
      <c r="E243" s="123"/>
      <c r="F243" s="54">
        <v>210</v>
      </c>
      <c r="G243" s="140">
        <f t="shared" si="21"/>
        <v>3694.3032025583493</v>
      </c>
      <c r="H243" s="140">
        <f t="shared" si="20"/>
        <v>1686.0265549215433</v>
      </c>
      <c r="I243" s="140">
        <f>K242*D209/12</f>
        <v>2008.276647636806</v>
      </c>
      <c r="J243" s="140">
        <f>IF(K242&gt;=(D210*D214),D213,0)</f>
        <v>0</v>
      </c>
      <c r="K243" s="140">
        <f t="shared" si="22"/>
        <v>383903.08979134524</v>
      </c>
      <c r="L243" s="141">
        <v>0</v>
      </c>
      <c r="M243" s="5"/>
    </row>
    <row r="244" spans="2:13" ht="15.75" customHeight="1" x14ac:dyDescent="0.25">
      <c r="B244" s="14"/>
      <c r="C244" s="123"/>
      <c r="D244" s="123"/>
      <c r="E244" s="123"/>
      <c r="F244" s="54">
        <v>211</v>
      </c>
      <c r="G244" s="140">
        <f t="shared" si="21"/>
        <v>3694.3032025583493</v>
      </c>
      <c r="H244" s="140">
        <f t="shared" si="20"/>
        <v>1694.8079432284262</v>
      </c>
      <c r="I244" s="140">
        <f>K243*D209/12</f>
        <v>1999.4952593299231</v>
      </c>
      <c r="J244" s="140">
        <f>IF(K243&gt;=(D210*D214),D213,0)</f>
        <v>0</v>
      </c>
      <c r="K244" s="140">
        <f t="shared" si="22"/>
        <v>382208.28184811684</v>
      </c>
      <c r="L244" s="141">
        <v>0</v>
      </c>
      <c r="M244" s="5"/>
    </row>
    <row r="245" spans="2:13" ht="15.75" customHeight="1" x14ac:dyDescent="0.25">
      <c r="B245" s="14"/>
      <c r="C245" s="123"/>
      <c r="D245" s="123"/>
      <c r="E245" s="123"/>
      <c r="F245" s="54">
        <v>212</v>
      </c>
      <c r="G245" s="140">
        <f t="shared" si="21"/>
        <v>3694.3032025583493</v>
      </c>
      <c r="H245" s="140">
        <f t="shared" si="20"/>
        <v>1703.6350679327409</v>
      </c>
      <c r="I245" s="140">
        <f>K244*D209/12</f>
        <v>1990.6681346256084</v>
      </c>
      <c r="J245" s="140">
        <f>IF(K244&gt;=(D210*D214),D213,0)</f>
        <v>0</v>
      </c>
      <c r="K245" s="140">
        <f t="shared" si="22"/>
        <v>380504.64678018412</v>
      </c>
      <c r="L245" s="141">
        <v>0</v>
      </c>
      <c r="M245" s="5"/>
    </row>
    <row r="246" spans="2:13" ht="15.75" customHeight="1" x14ac:dyDescent="0.25">
      <c r="B246" s="14"/>
      <c r="C246" s="123"/>
      <c r="D246" s="123"/>
      <c r="E246" s="123"/>
      <c r="F246" s="54">
        <v>213</v>
      </c>
      <c r="G246" s="140">
        <f t="shared" si="21"/>
        <v>3694.3032025583493</v>
      </c>
      <c r="H246" s="140">
        <f t="shared" si="20"/>
        <v>1712.5081672448903</v>
      </c>
      <c r="I246" s="140">
        <f>K245*D209/12</f>
        <v>1981.795035313459</v>
      </c>
      <c r="J246" s="140">
        <f>IF(K245&gt;=(D210*D214),D213,0)</f>
        <v>0</v>
      </c>
      <c r="K246" s="140">
        <f t="shared" si="22"/>
        <v>378792.13861293922</v>
      </c>
      <c r="L246" s="141">
        <v>0</v>
      </c>
      <c r="M246" s="5"/>
    </row>
    <row r="247" spans="2:13" ht="15.75" customHeight="1" x14ac:dyDescent="0.25">
      <c r="B247" s="14"/>
      <c r="C247" s="123"/>
      <c r="D247" s="123"/>
      <c r="E247" s="123"/>
      <c r="F247" s="54">
        <v>214</v>
      </c>
      <c r="G247" s="140">
        <f t="shared" si="21"/>
        <v>3694.3032025583493</v>
      </c>
      <c r="H247" s="140">
        <f t="shared" si="20"/>
        <v>1721.4274806159576</v>
      </c>
      <c r="I247" s="140">
        <f>K246*D209/12</f>
        <v>1972.8757219423917</v>
      </c>
      <c r="J247" s="140">
        <f>IF(K246&gt;=(D210*D214),D213,0)</f>
        <v>0</v>
      </c>
      <c r="K247" s="140">
        <f t="shared" si="22"/>
        <v>377070.71113232325</v>
      </c>
      <c r="L247" s="141">
        <v>0</v>
      </c>
      <c r="M247" s="5"/>
    </row>
    <row r="248" spans="2:13" ht="15.75" customHeight="1" x14ac:dyDescent="0.25">
      <c r="B248" s="14"/>
      <c r="C248" s="123"/>
      <c r="D248" s="123"/>
      <c r="E248" s="123"/>
      <c r="F248" s="54">
        <v>215</v>
      </c>
      <c r="G248" s="140">
        <f t="shared" si="21"/>
        <v>3694.3032025583493</v>
      </c>
      <c r="H248" s="140">
        <f t="shared" si="20"/>
        <v>1730.3932487441657</v>
      </c>
      <c r="I248" s="140">
        <f>K247*D209/12</f>
        <v>1963.9099538141836</v>
      </c>
      <c r="J248" s="140">
        <f>IF(K247&gt;=(D210*D214),D213,0)</f>
        <v>0</v>
      </c>
      <c r="K248" s="140">
        <f t="shared" si="22"/>
        <v>375340.31788357906</v>
      </c>
      <c r="L248" s="141">
        <v>0</v>
      </c>
      <c r="M248" s="5"/>
    </row>
    <row r="249" spans="2:13" ht="15.75" customHeight="1" x14ac:dyDescent="0.25">
      <c r="B249" s="14"/>
      <c r="C249" s="123"/>
      <c r="D249" s="123"/>
      <c r="E249" s="123"/>
      <c r="F249" s="151">
        <v>216</v>
      </c>
      <c r="G249" s="140">
        <f t="shared" si="21"/>
        <v>3694.3032025583493</v>
      </c>
      <c r="H249" s="140">
        <f t="shared" si="20"/>
        <v>1739.405713581375</v>
      </c>
      <c r="I249" s="140">
        <f>K248*D209/12</f>
        <v>1954.8974889769743</v>
      </c>
      <c r="J249" s="140">
        <f>IF(K248&gt;=(D210*D214),D213,0)</f>
        <v>0</v>
      </c>
      <c r="K249" s="140">
        <f t="shared" si="22"/>
        <v>373600.9121699977</v>
      </c>
      <c r="L249" s="141">
        <v>0</v>
      </c>
      <c r="M249" s="5"/>
    </row>
    <row r="250" spans="2:13" ht="15.75" customHeight="1" x14ac:dyDescent="0.25">
      <c r="B250" s="14"/>
      <c r="C250" s="137" t="s">
        <v>114</v>
      </c>
      <c r="D250" s="138">
        <f t="shared" ref="D250:D255" si="23">D209</f>
        <v>6.25E-2</v>
      </c>
      <c r="E250" s="139"/>
      <c r="F250" s="54">
        <v>217</v>
      </c>
      <c r="G250" s="140">
        <f t="shared" si="21"/>
        <v>3694.3032025583493</v>
      </c>
      <c r="H250" s="140">
        <f t="shared" si="20"/>
        <v>1748.4651183396113</v>
      </c>
      <c r="I250" s="140">
        <f>K249*D250/12</f>
        <v>1945.838084218738</v>
      </c>
      <c r="J250" s="140">
        <f>IF(K249&gt;=(D251*D255),D254,0)</f>
        <v>0</v>
      </c>
      <c r="K250" s="140">
        <f t="shared" si="22"/>
        <v>371852.44705165806</v>
      </c>
      <c r="L250" s="141">
        <v>0</v>
      </c>
      <c r="M250" s="5"/>
    </row>
    <row r="251" spans="2:13" ht="15.75" customHeight="1" x14ac:dyDescent="0.25">
      <c r="B251" s="14"/>
      <c r="C251" s="142" t="s">
        <v>3</v>
      </c>
      <c r="D251" s="143">
        <f t="shared" si="23"/>
        <v>750000</v>
      </c>
      <c r="E251" s="144"/>
      <c r="F251" s="162">
        <v>218</v>
      </c>
      <c r="G251" s="140">
        <f t="shared" si="21"/>
        <v>3694.3032025583493</v>
      </c>
      <c r="H251" s="140">
        <f t="shared" si="20"/>
        <v>1757.5717074976303</v>
      </c>
      <c r="I251" s="140">
        <f>K250*D250/12</f>
        <v>1936.731495060719</v>
      </c>
      <c r="J251" s="140">
        <f>IF(K250&gt;=(D251*D255),D254,0)</f>
        <v>0</v>
      </c>
      <c r="K251" s="140">
        <f t="shared" si="22"/>
        <v>370094.87534416042</v>
      </c>
      <c r="L251" s="141">
        <v>0</v>
      </c>
      <c r="M251" s="5"/>
    </row>
    <row r="252" spans="2:13" ht="15.75" customHeight="1" x14ac:dyDescent="0.25">
      <c r="B252" s="14"/>
      <c r="C252" s="142" t="s">
        <v>111</v>
      </c>
      <c r="D252" s="143">
        <f t="shared" si="23"/>
        <v>600000</v>
      </c>
      <c r="E252" s="144"/>
      <c r="F252" s="54">
        <v>219</v>
      </c>
      <c r="G252" s="140">
        <f t="shared" si="21"/>
        <v>3694.3032025583493</v>
      </c>
      <c r="H252" s="140">
        <f t="shared" si="20"/>
        <v>1766.7257268075139</v>
      </c>
      <c r="I252" s="140">
        <f>K251*D250/12</f>
        <v>1927.5774757508354</v>
      </c>
      <c r="J252" s="140">
        <f>IF(K251&gt;=(D251*D255),D254,0)</f>
        <v>0</v>
      </c>
      <c r="K252" s="140">
        <f t="shared" si="22"/>
        <v>368328.14961735293</v>
      </c>
      <c r="L252" s="141">
        <v>0</v>
      </c>
      <c r="M252" s="5"/>
    </row>
    <row r="253" spans="2:13" ht="15.75" customHeight="1" x14ac:dyDescent="0.25">
      <c r="B253" s="14"/>
      <c r="C253" s="142" t="s">
        <v>112</v>
      </c>
      <c r="D253" s="145">
        <f t="shared" si="23"/>
        <v>360</v>
      </c>
      <c r="E253" s="123"/>
      <c r="F253" s="54">
        <v>220</v>
      </c>
      <c r="G253" s="140">
        <f t="shared" si="21"/>
        <v>3694.3032025583493</v>
      </c>
      <c r="H253" s="140">
        <f t="shared" si="20"/>
        <v>1775.9274233013027</v>
      </c>
      <c r="I253" s="140">
        <f>K252*D250/12</f>
        <v>1918.3757792570466</v>
      </c>
      <c r="J253" s="140">
        <f>IF(K252&gt;=(D251*D255),D254,0)</f>
        <v>0</v>
      </c>
      <c r="K253" s="140">
        <f t="shared" si="22"/>
        <v>366552.2221940516</v>
      </c>
      <c r="L253" s="141">
        <v>0</v>
      </c>
      <c r="M253" s="5"/>
    </row>
    <row r="254" spans="2:13" ht="15.75" customHeight="1" x14ac:dyDescent="0.25">
      <c r="B254" s="14"/>
      <c r="C254" s="142" t="s">
        <v>32</v>
      </c>
      <c r="D254" s="146" t="str">
        <f t="shared" si="23"/>
        <v/>
      </c>
      <c r="E254" s="147"/>
      <c r="F254" s="54">
        <v>221</v>
      </c>
      <c r="G254" s="140">
        <f t="shared" si="21"/>
        <v>3694.3032025583493</v>
      </c>
      <c r="H254" s="140">
        <f t="shared" si="20"/>
        <v>1785.1770452976639</v>
      </c>
      <c r="I254" s="140">
        <f>K253*D250/12</f>
        <v>1909.1261572606854</v>
      </c>
      <c r="J254" s="140">
        <f>IF(K253&gt;=(D251*D255),D254,0)</f>
        <v>0</v>
      </c>
      <c r="K254" s="140">
        <f t="shared" si="22"/>
        <v>364767.04514875391</v>
      </c>
      <c r="L254" s="141">
        <v>0</v>
      </c>
      <c r="M254" s="5"/>
    </row>
    <row r="255" spans="2:13" ht="15.75" customHeight="1" x14ac:dyDescent="0.25">
      <c r="B255" s="14"/>
      <c r="C255" s="148" t="s">
        <v>113</v>
      </c>
      <c r="D255" s="149">
        <f t="shared" si="23"/>
        <v>0.8</v>
      </c>
      <c r="E255" s="150"/>
      <c r="F255" s="54">
        <v>222</v>
      </c>
      <c r="G255" s="140">
        <f t="shared" si="21"/>
        <v>3694.3032025583493</v>
      </c>
      <c r="H255" s="140">
        <f t="shared" si="20"/>
        <v>1794.4748424085894</v>
      </c>
      <c r="I255" s="140">
        <f>K254*D250/12</f>
        <v>1899.8283601497599</v>
      </c>
      <c r="J255" s="140">
        <f>IF(K254&gt;=(D251*D255),D254,0)</f>
        <v>0</v>
      </c>
      <c r="K255" s="140">
        <f t="shared" si="22"/>
        <v>362972.5703063453</v>
      </c>
      <c r="L255" s="141">
        <v>0</v>
      </c>
      <c r="M255" s="5"/>
    </row>
    <row r="256" spans="2:13" ht="15.75" customHeight="1" x14ac:dyDescent="0.25">
      <c r="B256" s="14"/>
      <c r="C256" s="123"/>
      <c r="D256" s="123"/>
      <c r="E256" s="123"/>
      <c r="F256" s="54">
        <v>223</v>
      </c>
      <c r="G256" s="140">
        <f t="shared" si="21"/>
        <v>3694.3032025583493</v>
      </c>
      <c r="H256" s="140">
        <f t="shared" si="20"/>
        <v>1803.8210655461342</v>
      </c>
      <c r="I256" s="140">
        <f>K255*D250/12</f>
        <v>1890.4821370122152</v>
      </c>
      <c r="J256" s="140">
        <f>IF(K255&gt;=(D251*D255),D254,0)</f>
        <v>0</v>
      </c>
      <c r="K256" s="140">
        <f t="shared" si="22"/>
        <v>361168.74924079917</v>
      </c>
      <c r="L256" s="141">
        <v>0</v>
      </c>
      <c r="M256" s="5"/>
    </row>
    <row r="257" spans="2:13" ht="15.75" customHeight="1" x14ac:dyDescent="0.25">
      <c r="B257" s="14"/>
      <c r="C257" s="123"/>
      <c r="D257" s="123"/>
      <c r="E257" s="123"/>
      <c r="F257" s="54">
        <v>224</v>
      </c>
      <c r="G257" s="140">
        <f t="shared" si="21"/>
        <v>3694.3032025583493</v>
      </c>
      <c r="H257" s="140">
        <f t="shared" si="20"/>
        <v>1813.2159669291871</v>
      </c>
      <c r="I257" s="140">
        <f>K256*D250/12</f>
        <v>1881.0872356291623</v>
      </c>
      <c r="J257" s="140">
        <f>IF(K256&gt;=(D251*D255),D254,0)</f>
        <v>0</v>
      </c>
      <c r="K257" s="140">
        <f t="shared" si="22"/>
        <v>359355.53327386995</v>
      </c>
      <c r="L257" s="141">
        <v>0</v>
      </c>
      <c r="M257" s="5"/>
    </row>
    <row r="258" spans="2:13" ht="15.75" customHeight="1" x14ac:dyDescent="0.25">
      <c r="B258" s="14"/>
      <c r="C258" s="123"/>
      <c r="D258" s="123"/>
      <c r="E258" s="123"/>
      <c r="F258" s="54">
        <v>225</v>
      </c>
      <c r="G258" s="140">
        <f t="shared" si="21"/>
        <v>3694.3032025583493</v>
      </c>
      <c r="H258" s="140">
        <f t="shared" si="20"/>
        <v>1822.6598000902766</v>
      </c>
      <c r="I258" s="140">
        <f>K257*D250/12</f>
        <v>1871.6434024680727</v>
      </c>
      <c r="J258" s="140">
        <f>IF(K257&gt;=(D251*D255),D254,0)</f>
        <v>0</v>
      </c>
      <c r="K258" s="140">
        <f t="shared" si="22"/>
        <v>357532.87347377965</v>
      </c>
      <c r="L258" s="141">
        <v>0</v>
      </c>
      <c r="M258" s="5"/>
    </row>
    <row r="259" spans="2:13" ht="15.75" customHeight="1" x14ac:dyDescent="0.25">
      <c r="B259" s="14"/>
      <c r="C259" s="147"/>
      <c r="D259" s="123"/>
      <c r="E259" s="123"/>
      <c r="F259" s="54">
        <v>226</v>
      </c>
      <c r="G259" s="140">
        <f t="shared" si="21"/>
        <v>3694.3032025583493</v>
      </c>
      <c r="H259" s="140">
        <f t="shared" si="20"/>
        <v>1832.1528198824137</v>
      </c>
      <c r="I259" s="140">
        <f>K258*D250/12</f>
        <v>1862.1503826759356</v>
      </c>
      <c r="J259" s="140">
        <f>IF(K258&gt;=(D251*D255),D254,0)</f>
        <v>0</v>
      </c>
      <c r="K259" s="140">
        <f t="shared" si="22"/>
        <v>355700.72065389721</v>
      </c>
      <c r="L259" s="141">
        <v>0</v>
      </c>
      <c r="M259" s="5"/>
    </row>
    <row r="260" spans="2:13" ht="15.75" customHeight="1" x14ac:dyDescent="0.25">
      <c r="B260" s="14"/>
      <c r="C260" s="123"/>
      <c r="D260" s="123"/>
      <c r="E260" s="123"/>
      <c r="F260" s="54">
        <v>227</v>
      </c>
      <c r="G260" s="140">
        <f t="shared" si="21"/>
        <v>3694.3032025583493</v>
      </c>
      <c r="H260" s="140">
        <f t="shared" si="20"/>
        <v>1841.6952824859679</v>
      </c>
      <c r="I260" s="140">
        <f>K259*D250/12</f>
        <v>1852.6079200723814</v>
      </c>
      <c r="J260" s="140">
        <f>IF(K259&gt;=(D251*D255),D254,0)</f>
        <v>0</v>
      </c>
      <c r="K260" s="140">
        <f t="shared" si="22"/>
        <v>353859.02537141123</v>
      </c>
      <c r="L260" s="141">
        <v>0</v>
      </c>
      <c r="M260" s="5"/>
    </row>
    <row r="261" spans="2:13" ht="15.75" customHeight="1" x14ac:dyDescent="0.25">
      <c r="B261" s="14"/>
      <c r="C261" s="123"/>
      <c r="D261" s="123"/>
      <c r="E261" s="123"/>
      <c r="F261" s="151">
        <v>228</v>
      </c>
      <c r="G261" s="140">
        <f t="shared" si="21"/>
        <v>3694.3032025583493</v>
      </c>
      <c r="H261" s="140">
        <f t="shared" si="20"/>
        <v>1851.2874454155824</v>
      </c>
      <c r="I261" s="140">
        <f>K260*D250/12</f>
        <v>1843.0157571427669</v>
      </c>
      <c r="J261" s="140">
        <f>IF(K260&gt;=(D251*D255),D254,0)</f>
        <v>0</v>
      </c>
      <c r="K261" s="140">
        <f t="shared" si="22"/>
        <v>352007.73792599567</v>
      </c>
      <c r="L261" s="141">
        <v>0</v>
      </c>
      <c r="M261" s="5"/>
    </row>
    <row r="262" spans="2:13" ht="15.75" customHeight="1" x14ac:dyDescent="0.25">
      <c r="B262" s="14"/>
      <c r="C262" s="123"/>
      <c r="D262" s="123"/>
      <c r="E262" s="123"/>
      <c r="F262" s="54">
        <v>229</v>
      </c>
      <c r="G262" s="140">
        <f t="shared" si="21"/>
        <v>3694.3032025583493</v>
      </c>
      <c r="H262" s="140">
        <f t="shared" si="20"/>
        <v>1860.9295675271219</v>
      </c>
      <c r="I262" s="140">
        <f>K261*D250/12</f>
        <v>1833.3736350312274</v>
      </c>
      <c r="J262" s="140">
        <f>IF(K261&gt;=(D251*D255),D254,0)</f>
        <v>0</v>
      </c>
      <c r="K262" s="140">
        <f t="shared" si="22"/>
        <v>350146.80835846852</v>
      </c>
      <c r="L262" s="141">
        <v>0</v>
      </c>
      <c r="M262" s="5"/>
    </row>
    <row r="263" spans="2:13" ht="15.75" customHeight="1" x14ac:dyDescent="0.25">
      <c r="B263" s="14"/>
      <c r="C263" s="123"/>
      <c r="D263" s="123"/>
      <c r="E263" s="123"/>
      <c r="F263" s="162">
        <v>230</v>
      </c>
      <c r="G263" s="140">
        <f t="shared" si="21"/>
        <v>3694.3032025583493</v>
      </c>
      <c r="H263" s="140">
        <f t="shared" si="20"/>
        <v>1870.6219090246591</v>
      </c>
      <c r="I263" s="140">
        <f>K262*D250/12</f>
        <v>1823.6812935336902</v>
      </c>
      <c r="J263" s="140">
        <f>IF(K262&gt;=(D251*D255),D254,0)</f>
        <v>0</v>
      </c>
      <c r="K263" s="140">
        <f t="shared" si="22"/>
        <v>348276.18644944386</v>
      </c>
      <c r="L263" s="141">
        <v>0</v>
      </c>
      <c r="M263" s="5"/>
    </row>
    <row r="264" spans="2:13" ht="15.75" customHeight="1" x14ac:dyDescent="0.25">
      <c r="B264" s="14"/>
      <c r="C264" s="123"/>
      <c r="D264" s="123"/>
      <c r="E264" s="123"/>
      <c r="F264" s="54">
        <v>231</v>
      </c>
      <c r="G264" s="140">
        <f t="shared" si="21"/>
        <v>3694.3032025583493</v>
      </c>
      <c r="H264" s="140">
        <f t="shared" si="20"/>
        <v>1880.3647314674959</v>
      </c>
      <c r="I264" s="140">
        <f>K263*D250/12</f>
        <v>1813.9384710908535</v>
      </c>
      <c r="J264" s="140">
        <f>IF(K263&gt;=(D251*D255),D254,0)</f>
        <v>0</v>
      </c>
      <c r="K264" s="140">
        <f t="shared" si="22"/>
        <v>346395.82171797636</v>
      </c>
      <c r="L264" s="141">
        <v>0</v>
      </c>
      <c r="M264" s="5"/>
    </row>
    <row r="265" spans="2:13" ht="15.75" customHeight="1" x14ac:dyDescent="0.25">
      <c r="B265" s="14"/>
      <c r="C265" s="123"/>
      <c r="D265" s="123"/>
      <c r="E265" s="123"/>
      <c r="F265" s="54">
        <v>232</v>
      </c>
      <c r="G265" s="140">
        <f t="shared" si="21"/>
        <v>3694.3032025583493</v>
      </c>
      <c r="H265" s="140">
        <f t="shared" si="20"/>
        <v>1890.1582977772225</v>
      </c>
      <c r="I265" s="140">
        <f>K264*D250/12</f>
        <v>1804.1449047811268</v>
      </c>
      <c r="J265" s="140">
        <f>IF(K264&gt;=(D251*D255),D254,0)</f>
        <v>0</v>
      </c>
      <c r="K265" s="140">
        <f t="shared" si="22"/>
        <v>344505.66342019913</v>
      </c>
      <c r="L265" s="141">
        <v>0</v>
      </c>
      <c r="M265" s="5"/>
    </row>
    <row r="266" spans="2:13" ht="15.75" customHeight="1" x14ac:dyDescent="0.25">
      <c r="B266" s="14"/>
      <c r="C266" s="123"/>
      <c r="D266" s="123"/>
      <c r="E266" s="123"/>
      <c r="F266" s="54">
        <v>233</v>
      </c>
      <c r="G266" s="140">
        <f t="shared" si="21"/>
        <v>3694.3032025583493</v>
      </c>
      <c r="H266" s="140">
        <f t="shared" si="20"/>
        <v>1900.0028722448121</v>
      </c>
      <c r="I266" s="140">
        <f>K265*D250/12</f>
        <v>1794.3003303135372</v>
      </c>
      <c r="J266" s="140">
        <f>IF(K265&gt;=(D251*D255),D254,0)</f>
        <v>0</v>
      </c>
      <c r="K266" s="140">
        <f t="shared" si="22"/>
        <v>342605.66054795432</v>
      </c>
      <c r="L266" s="141">
        <v>0</v>
      </c>
      <c r="M266" s="5"/>
    </row>
    <row r="267" spans="2:13" ht="15.75" customHeight="1" x14ac:dyDescent="0.25">
      <c r="B267" s="14"/>
      <c r="C267" s="123"/>
      <c r="D267" s="123"/>
      <c r="E267" s="123"/>
      <c r="F267" s="54">
        <v>234</v>
      </c>
      <c r="G267" s="140">
        <f t="shared" si="21"/>
        <v>3694.3032025583493</v>
      </c>
      <c r="H267" s="140">
        <f t="shared" si="20"/>
        <v>1909.8987205377539</v>
      </c>
      <c r="I267" s="140">
        <f>K266*D250/12</f>
        <v>1784.4044820205954</v>
      </c>
      <c r="J267" s="140">
        <f>IF(K266&gt;=(D251*D255),D254,0)</f>
        <v>0</v>
      </c>
      <c r="K267" s="140">
        <f t="shared" si="22"/>
        <v>340695.76182741654</v>
      </c>
      <c r="L267" s="141">
        <v>0</v>
      </c>
      <c r="M267" s="5"/>
    </row>
    <row r="268" spans="2:13" ht="15.75" customHeight="1" x14ac:dyDescent="0.25">
      <c r="B268" s="14"/>
      <c r="C268" s="123"/>
      <c r="D268" s="123"/>
      <c r="E268" s="123"/>
      <c r="F268" s="54">
        <v>235</v>
      </c>
      <c r="G268" s="140">
        <f t="shared" si="21"/>
        <v>3694.3032025583493</v>
      </c>
      <c r="H268" s="140">
        <f t="shared" si="20"/>
        <v>1919.8461097072216</v>
      </c>
      <c r="I268" s="140">
        <f>K267*D250/12</f>
        <v>1774.4570928511278</v>
      </c>
      <c r="J268" s="140">
        <f>IF(K267&gt;=(D251*D255),D254,0)</f>
        <v>0</v>
      </c>
      <c r="K268" s="140">
        <f t="shared" si="22"/>
        <v>338775.91571770934</v>
      </c>
      <c r="L268" s="141">
        <v>0</v>
      </c>
      <c r="M268" s="5"/>
    </row>
    <row r="269" spans="2:13" ht="15.75" customHeight="1" x14ac:dyDescent="0.25">
      <c r="B269" s="14"/>
      <c r="C269" s="123"/>
      <c r="D269" s="123"/>
      <c r="E269" s="123"/>
      <c r="F269" s="54">
        <v>236</v>
      </c>
      <c r="G269" s="140">
        <f t="shared" si="21"/>
        <v>3694.3032025583493</v>
      </c>
      <c r="H269" s="140">
        <f t="shared" si="20"/>
        <v>1929.8453081952798</v>
      </c>
      <c r="I269" s="140">
        <f>K268*D250/12</f>
        <v>1764.4578943630695</v>
      </c>
      <c r="J269" s="140">
        <f>IF(K268&gt;=(D251*D255),D254,0)</f>
        <v>0</v>
      </c>
      <c r="K269" s="140">
        <f t="shared" si="22"/>
        <v>336846.07040951407</v>
      </c>
      <c r="L269" s="141">
        <v>0</v>
      </c>
      <c r="M269" s="5"/>
    </row>
    <row r="270" spans="2:13" ht="15.75" customHeight="1" x14ac:dyDescent="0.25">
      <c r="B270" s="14"/>
      <c r="C270" s="123"/>
      <c r="D270" s="123"/>
      <c r="E270" s="123"/>
      <c r="F270" s="54">
        <v>237</v>
      </c>
      <c r="G270" s="140">
        <f t="shared" si="21"/>
        <v>3694.3032025583493</v>
      </c>
      <c r="H270" s="140">
        <f t="shared" si="20"/>
        <v>1939.8965858421302</v>
      </c>
      <c r="I270" s="140">
        <f>K269*D250/12</f>
        <v>1754.4066167162191</v>
      </c>
      <c r="J270" s="140">
        <f>IF(K269&gt;=(D251*D255),D254,0)</f>
        <v>0</v>
      </c>
      <c r="K270" s="140">
        <f t="shared" si="22"/>
        <v>334906.17382367194</v>
      </c>
      <c r="L270" s="141">
        <v>0</v>
      </c>
      <c r="M270" s="5"/>
    </row>
    <row r="271" spans="2:13" ht="15.75" customHeight="1" x14ac:dyDescent="0.25">
      <c r="B271" s="14"/>
      <c r="C271" s="123"/>
      <c r="D271" s="123"/>
      <c r="E271" s="123"/>
      <c r="F271" s="54">
        <v>238</v>
      </c>
      <c r="G271" s="140">
        <f t="shared" si="21"/>
        <v>3694.3032025583493</v>
      </c>
      <c r="H271" s="140">
        <f t="shared" si="20"/>
        <v>1950.0002138933912</v>
      </c>
      <c r="I271" s="140">
        <f>K270*D250/12</f>
        <v>1744.3029886649581</v>
      </c>
      <c r="J271" s="140">
        <f>IF(K270&gt;=(D251*D255),D254,0)</f>
        <v>0</v>
      </c>
      <c r="K271" s="140">
        <f t="shared" si="22"/>
        <v>332956.17360977858</v>
      </c>
      <c r="L271" s="141">
        <v>0</v>
      </c>
      <c r="M271" s="5"/>
    </row>
    <row r="272" spans="2:13" ht="15.75" customHeight="1" x14ac:dyDescent="0.25">
      <c r="B272" s="14"/>
      <c r="C272" s="123"/>
      <c r="D272" s="123"/>
      <c r="E272" s="123"/>
      <c r="F272" s="54">
        <v>239</v>
      </c>
      <c r="G272" s="140">
        <f t="shared" si="21"/>
        <v>3694.3032025583493</v>
      </c>
      <c r="H272" s="140">
        <f t="shared" si="20"/>
        <v>1960.1564650074192</v>
      </c>
      <c r="I272" s="140">
        <f>K271*D250/12</f>
        <v>1734.1467375509301</v>
      </c>
      <c r="J272" s="140">
        <f>IF(K271&gt;=(D251*D255),D254,0)</f>
        <v>0</v>
      </c>
      <c r="K272" s="140">
        <f t="shared" si="22"/>
        <v>330996.01714477118</v>
      </c>
      <c r="L272" s="141">
        <v>0</v>
      </c>
      <c r="M272" s="5"/>
    </row>
    <row r="273" spans="1:26" ht="15.75" customHeight="1" x14ac:dyDescent="0.25">
      <c r="B273" s="14"/>
      <c r="C273" s="123"/>
      <c r="D273" s="123"/>
      <c r="E273" s="123"/>
      <c r="F273" s="151">
        <v>240</v>
      </c>
      <c r="G273" s="140">
        <f t="shared" si="21"/>
        <v>3694.3032025583493</v>
      </c>
      <c r="H273" s="140">
        <f t="shared" si="20"/>
        <v>1970.3656132626661</v>
      </c>
      <c r="I273" s="140">
        <f>K272*D250/12</f>
        <v>1723.9375892956832</v>
      </c>
      <c r="J273" s="140">
        <f>IF(K272&gt;=(D251*D255),D254,0)</f>
        <v>0</v>
      </c>
      <c r="K273" s="140">
        <f t="shared" si="22"/>
        <v>329025.65153150848</v>
      </c>
      <c r="L273" s="141">
        <v>0</v>
      </c>
      <c r="M273" s="5"/>
    </row>
    <row r="274" spans="1:26" ht="15.75" customHeight="1" x14ac:dyDescent="0.25">
      <c r="B274" s="14"/>
      <c r="C274" s="123"/>
      <c r="D274" s="123"/>
      <c r="E274" s="123"/>
      <c r="F274" s="54">
        <v>241</v>
      </c>
      <c r="G274" s="140">
        <f t="shared" si="21"/>
        <v>3694.3032025583493</v>
      </c>
      <c r="H274" s="140">
        <f t="shared" si="20"/>
        <v>1980.6279341650759</v>
      </c>
      <c r="I274" s="140">
        <f>K273*D250/12</f>
        <v>1713.6752683932734</v>
      </c>
      <c r="J274" s="140">
        <f>IF(K273&gt;=(D251*D255),D254,0)</f>
        <v>0</v>
      </c>
      <c r="K274" s="140">
        <f t="shared" si="22"/>
        <v>327045.02359734342</v>
      </c>
      <c r="L274" s="141">
        <v>0</v>
      </c>
      <c r="M274" s="5"/>
    </row>
    <row r="275" spans="1:26" ht="15.75" customHeight="1" x14ac:dyDescent="0.25">
      <c r="B275" s="14"/>
      <c r="C275" s="123"/>
      <c r="D275" s="123"/>
      <c r="E275" s="123"/>
      <c r="F275" s="162">
        <v>242</v>
      </c>
      <c r="G275" s="140">
        <f t="shared" si="21"/>
        <v>3694.3032025583493</v>
      </c>
      <c r="H275" s="140">
        <f t="shared" si="20"/>
        <v>1990.943704655519</v>
      </c>
      <c r="I275" s="140">
        <f>K274*D250/12</f>
        <v>1703.3594979028303</v>
      </c>
      <c r="J275" s="140">
        <f>IF(K274&gt;=(D251*D255),D254,0)</f>
        <v>0</v>
      </c>
      <c r="K275" s="140">
        <f t="shared" si="22"/>
        <v>325054.07989268791</v>
      </c>
      <c r="L275" s="141">
        <v>0</v>
      </c>
      <c r="M275" s="5"/>
    </row>
    <row r="276" spans="1:26" ht="15.75" customHeight="1" x14ac:dyDescent="0.25">
      <c r="B276" s="14"/>
      <c r="C276" s="123"/>
      <c r="D276" s="123"/>
      <c r="E276" s="123"/>
      <c r="F276" s="54">
        <v>243</v>
      </c>
      <c r="G276" s="140">
        <f t="shared" si="21"/>
        <v>3694.3032025583493</v>
      </c>
      <c r="H276" s="140">
        <f t="shared" si="20"/>
        <v>2001.3132031172665</v>
      </c>
      <c r="I276" s="140">
        <f>K275*D250/12</f>
        <v>1692.9899994410828</v>
      </c>
      <c r="J276" s="140">
        <f>IF(K275&gt;=(D251*D255),D254,0)</f>
        <v>0</v>
      </c>
      <c r="K276" s="140">
        <f t="shared" si="22"/>
        <v>323052.76668957062</v>
      </c>
      <c r="L276" s="141">
        <v>0</v>
      </c>
      <c r="M276" s="5"/>
    </row>
    <row r="277" spans="1:26" ht="15.75" customHeight="1" x14ac:dyDescent="0.25">
      <c r="B277" s="14"/>
      <c r="C277" s="123"/>
      <c r="D277" s="123"/>
      <c r="E277" s="123"/>
      <c r="F277" s="54">
        <v>244</v>
      </c>
      <c r="G277" s="140">
        <f t="shared" si="21"/>
        <v>3694.3032025583493</v>
      </c>
      <c r="H277" s="140">
        <f t="shared" si="20"/>
        <v>2011.7367093835023</v>
      </c>
      <c r="I277" s="140">
        <f>K276*D250/12</f>
        <v>1682.566493174847</v>
      </c>
      <c r="J277" s="140">
        <f>IF(K276&gt;=(D251*D255),D254,0)</f>
        <v>0</v>
      </c>
      <c r="K277" s="140">
        <f t="shared" si="22"/>
        <v>321041.02998018713</v>
      </c>
      <c r="L277" s="141">
        <v>0</v>
      </c>
      <c r="M277" s="5"/>
    </row>
    <row r="278" spans="1:26" ht="15.75" customHeight="1" x14ac:dyDescent="0.25">
      <c r="B278" s="14"/>
      <c r="C278" s="123"/>
      <c r="D278" s="123"/>
      <c r="E278" s="123"/>
      <c r="F278" s="54">
        <v>245</v>
      </c>
      <c r="G278" s="140">
        <f t="shared" si="21"/>
        <v>3694.3032025583493</v>
      </c>
      <c r="H278" s="140">
        <f t="shared" si="20"/>
        <v>2022.2145047448746</v>
      </c>
      <c r="I278" s="140">
        <f>K277*D250/12</f>
        <v>1672.0886978134747</v>
      </c>
      <c r="J278" s="140">
        <f>IF(K277&gt;=(D251*D255),D254,0)</f>
        <v>0</v>
      </c>
      <c r="K278" s="140">
        <f t="shared" si="22"/>
        <v>319018.81547544227</v>
      </c>
      <c r="L278" s="141">
        <v>0</v>
      </c>
      <c r="M278" s="5"/>
    </row>
    <row r="279" spans="1:26" ht="15.75" customHeight="1" x14ac:dyDescent="0.25">
      <c r="B279" s="14"/>
      <c r="C279" s="123"/>
      <c r="D279" s="123"/>
      <c r="E279" s="123"/>
      <c r="F279" s="41">
        <v>246</v>
      </c>
      <c r="G279" s="153">
        <f t="shared" si="21"/>
        <v>3694.3032025583493</v>
      </c>
      <c r="H279" s="153">
        <f t="shared" si="20"/>
        <v>2032.7468719570875</v>
      </c>
      <c r="I279" s="153">
        <f>K278*D250/12</f>
        <v>1661.5563306012618</v>
      </c>
      <c r="J279" s="153">
        <f>IF(K278&gt;=(D251*D255),D254,0)</f>
        <v>0</v>
      </c>
      <c r="K279" s="153">
        <f t="shared" si="22"/>
        <v>316986.06860348518</v>
      </c>
      <c r="L279" s="154">
        <v>0</v>
      </c>
      <c r="M279" s="5"/>
    </row>
    <row r="280" spans="1:26" ht="11.25" customHeight="1" x14ac:dyDescent="0.25">
      <c r="B280" s="62"/>
      <c r="C280" s="155"/>
      <c r="D280" s="155"/>
      <c r="E280" s="155"/>
      <c r="F280" s="166"/>
      <c r="G280" s="157"/>
      <c r="H280" s="157"/>
      <c r="I280" s="157"/>
      <c r="J280" s="157"/>
      <c r="K280" s="157"/>
      <c r="L280" s="158"/>
      <c r="M280" s="64"/>
    </row>
    <row r="281" spans="1:26" ht="11.25" customHeight="1" x14ac:dyDescent="0.25">
      <c r="C281" s="120"/>
      <c r="D281" s="120"/>
      <c r="E281" s="120"/>
      <c r="F281" s="159"/>
      <c r="G281" s="140"/>
      <c r="H281" s="140"/>
      <c r="I281" s="140"/>
      <c r="J281" s="140"/>
      <c r="K281" s="140"/>
      <c r="L281" s="56"/>
    </row>
    <row r="282" spans="1:26" ht="11.25" customHeight="1" x14ac:dyDescent="0.25">
      <c r="B282" s="1"/>
      <c r="C282" s="160"/>
      <c r="D282" s="121"/>
      <c r="E282" s="121"/>
      <c r="F282" s="121"/>
      <c r="G282" s="121"/>
      <c r="H282" s="121"/>
      <c r="I282" s="121"/>
      <c r="J282" s="121"/>
      <c r="K282" s="121"/>
      <c r="L282" s="161"/>
      <c r="M282" s="3"/>
    </row>
    <row r="283" spans="1:26" ht="22.5" customHeight="1" x14ac:dyDescent="0.25">
      <c r="A283" s="129"/>
      <c r="B283" s="130"/>
      <c r="C283" s="131"/>
      <c r="D283" s="131"/>
      <c r="E283" s="131"/>
      <c r="F283" s="132" t="s">
        <v>103</v>
      </c>
      <c r="G283" s="133" t="s">
        <v>104</v>
      </c>
      <c r="H283" s="133" t="s">
        <v>105</v>
      </c>
      <c r="I283" s="133" t="s">
        <v>106</v>
      </c>
      <c r="J283" s="133" t="s">
        <v>107</v>
      </c>
      <c r="K283" s="133" t="s">
        <v>108</v>
      </c>
      <c r="L283" s="134" t="s">
        <v>109</v>
      </c>
      <c r="M283" s="135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spans="1:26" ht="11.25" customHeight="1" x14ac:dyDescent="0.25">
      <c r="B284" s="14"/>
      <c r="C284" s="123"/>
      <c r="D284" s="123"/>
      <c r="E284" s="123"/>
      <c r="F284" s="75"/>
      <c r="G284" s="76"/>
      <c r="H284" s="76"/>
      <c r="I284" s="76"/>
      <c r="J284" s="76"/>
      <c r="K284" s="76"/>
      <c r="L284" s="136"/>
      <c r="M284" s="5"/>
    </row>
    <row r="285" spans="1:26" ht="15.75" customHeight="1" x14ac:dyDescent="0.25">
      <c r="B285" s="14"/>
      <c r="C285" s="123"/>
      <c r="D285" s="123"/>
      <c r="E285" s="123"/>
      <c r="F285" s="54">
        <v>247</v>
      </c>
      <c r="G285" s="140">
        <f>IF(K279=0,0,G279)</f>
        <v>3694.3032025583493</v>
      </c>
      <c r="H285" s="140">
        <f t="shared" ref="H285:H326" si="24">G285-I285</f>
        <v>2043.3340952485307</v>
      </c>
      <c r="I285" s="140">
        <f>K279*D250/12</f>
        <v>1650.9691073098186</v>
      </c>
      <c r="J285" s="140">
        <f>IF(K279&gt;=(D251*D255),D254,0)</f>
        <v>0</v>
      </c>
      <c r="K285" s="140">
        <f>IF(K279-H285-L285&gt;0,K279-H285-L285,0)</f>
        <v>314942.73450823664</v>
      </c>
      <c r="L285" s="141">
        <v>0</v>
      </c>
      <c r="M285" s="5"/>
    </row>
    <row r="286" spans="1:26" ht="15.75" customHeight="1" x14ac:dyDescent="0.25">
      <c r="B286" s="14"/>
      <c r="C286" s="123"/>
      <c r="D286" s="123"/>
      <c r="E286" s="123"/>
      <c r="F286" s="54">
        <v>248</v>
      </c>
      <c r="G286" s="140">
        <f t="shared" ref="G286:G326" si="25">IF(K285=0,0,G285)</f>
        <v>3694.3032025583493</v>
      </c>
      <c r="H286" s="140">
        <f t="shared" si="24"/>
        <v>2053.97646032795</v>
      </c>
      <c r="I286" s="140">
        <f>K285*D250/12</f>
        <v>1640.3267422303991</v>
      </c>
      <c r="J286" s="140">
        <f>IF(K285&gt;=(D251*D255),D254,0)</f>
        <v>0</v>
      </c>
      <c r="K286" s="140">
        <f t="shared" ref="K286:K326" si="26">IF(K285-H286-L286&gt;0,K285-H286-L286,)</f>
        <v>312888.75804790866</v>
      </c>
      <c r="L286" s="141">
        <v>0</v>
      </c>
      <c r="M286" s="5"/>
    </row>
    <row r="287" spans="1:26" ht="15.75" customHeight="1" x14ac:dyDescent="0.25">
      <c r="B287" s="14"/>
      <c r="C287" s="123"/>
      <c r="D287" s="123"/>
      <c r="E287" s="123"/>
      <c r="F287" s="54">
        <v>249</v>
      </c>
      <c r="G287" s="140">
        <f t="shared" si="25"/>
        <v>3694.3032025583493</v>
      </c>
      <c r="H287" s="140">
        <f t="shared" si="24"/>
        <v>2064.6742543921582</v>
      </c>
      <c r="I287" s="140">
        <f>K286*D250/12</f>
        <v>1629.6289481661909</v>
      </c>
      <c r="J287" s="140">
        <f>IF(K286&gt;=(D251*D255),D254,0)</f>
        <v>0</v>
      </c>
      <c r="K287" s="140">
        <f t="shared" si="26"/>
        <v>310824.0837935165</v>
      </c>
      <c r="L287" s="141">
        <v>0</v>
      </c>
      <c r="M287" s="5"/>
    </row>
    <row r="288" spans="1:26" ht="15.75" customHeight="1" x14ac:dyDescent="0.25">
      <c r="B288" s="14"/>
      <c r="C288" s="123"/>
      <c r="D288" s="123"/>
      <c r="E288" s="123"/>
      <c r="F288" s="54">
        <v>250</v>
      </c>
      <c r="G288" s="140">
        <f t="shared" si="25"/>
        <v>3694.3032025583493</v>
      </c>
      <c r="H288" s="140">
        <f t="shared" si="24"/>
        <v>2075.4277661337842</v>
      </c>
      <c r="I288" s="140">
        <f>K287*D250/12</f>
        <v>1618.8754364245651</v>
      </c>
      <c r="J288" s="140">
        <f>IF(K287&gt;=(D251*D255),D254,0)</f>
        <v>0</v>
      </c>
      <c r="K288" s="140">
        <f t="shared" si="26"/>
        <v>308748.65602738271</v>
      </c>
      <c r="L288" s="141">
        <v>0</v>
      </c>
      <c r="M288" s="5"/>
    </row>
    <row r="289" spans="2:13" ht="15.75" customHeight="1" x14ac:dyDescent="0.25">
      <c r="B289" s="14"/>
      <c r="C289" s="123"/>
      <c r="D289" s="123"/>
      <c r="E289" s="123"/>
      <c r="F289" s="54">
        <v>251</v>
      </c>
      <c r="G289" s="140">
        <f t="shared" si="25"/>
        <v>3694.3032025583493</v>
      </c>
      <c r="H289" s="140">
        <f t="shared" si="24"/>
        <v>2086.2372857490645</v>
      </c>
      <c r="I289" s="140">
        <f>K288*D250/12</f>
        <v>1608.065916809285</v>
      </c>
      <c r="J289" s="140">
        <f>IF(K288&gt;=(D251*D255),D254,0)</f>
        <v>0</v>
      </c>
      <c r="K289" s="140">
        <f t="shared" si="26"/>
        <v>306662.41874163365</v>
      </c>
      <c r="L289" s="141">
        <v>0</v>
      </c>
      <c r="M289" s="5"/>
    </row>
    <row r="290" spans="2:13" ht="15.75" customHeight="1" x14ac:dyDescent="0.25">
      <c r="B290" s="14"/>
      <c r="C290" s="123"/>
      <c r="D290" s="123"/>
      <c r="E290" s="123"/>
      <c r="F290" s="151">
        <v>252</v>
      </c>
      <c r="G290" s="140">
        <f t="shared" si="25"/>
        <v>3694.3032025583493</v>
      </c>
      <c r="H290" s="140">
        <f t="shared" si="24"/>
        <v>2097.1031049456742</v>
      </c>
      <c r="I290" s="140">
        <f>K289*D250/12</f>
        <v>1597.2000976126753</v>
      </c>
      <c r="J290" s="140">
        <f>IF(K289&gt;=(D251*D255),D254,0)</f>
        <v>0</v>
      </c>
      <c r="K290" s="140">
        <f t="shared" si="26"/>
        <v>304565.31563668797</v>
      </c>
      <c r="L290" s="141">
        <v>0</v>
      </c>
      <c r="M290" s="5"/>
    </row>
    <row r="291" spans="2:13" ht="15.75" customHeight="1" x14ac:dyDescent="0.25">
      <c r="B291" s="14"/>
      <c r="C291" s="137" t="s">
        <v>114</v>
      </c>
      <c r="D291" s="138">
        <f t="shared" ref="D291:D296" si="27">D250</f>
        <v>6.25E-2</v>
      </c>
      <c r="E291" s="139"/>
      <c r="F291" s="54">
        <v>253</v>
      </c>
      <c r="G291" s="140">
        <f t="shared" si="25"/>
        <v>3694.3032025583493</v>
      </c>
      <c r="H291" s="140">
        <f t="shared" si="24"/>
        <v>2108.0255169505995</v>
      </c>
      <c r="I291" s="140">
        <f>K290*D291/12</f>
        <v>1586.2776856077498</v>
      </c>
      <c r="J291" s="140">
        <f>IF(K290&gt;=(D292*D296),D295,0)</f>
        <v>0</v>
      </c>
      <c r="K291" s="140">
        <f t="shared" si="26"/>
        <v>302457.29011973739</v>
      </c>
      <c r="L291" s="141">
        <v>0</v>
      </c>
      <c r="M291" s="5"/>
    </row>
    <row r="292" spans="2:13" ht="15.75" customHeight="1" x14ac:dyDescent="0.25">
      <c r="B292" s="14"/>
      <c r="C292" s="142" t="s">
        <v>3</v>
      </c>
      <c r="D292" s="143">
        <f t="shared" si="27"/>
        <v>750000</v>
      </c>
      <c r="E292" s="144"/>
      <c r="F292" s="162">
        <v>254</v>
      </c>
      <c r="G292" s="140">
        <f t="shared" si="25"/>
        <v>3694.3032025583493</v>
      </c>
      <c r="H292" s="140">
        <f t="shared" si="24"/>
        <v>2119.0048165180506</v>
      </c>
      <c r="I292" s="140">
        <f>K291*D291/12</f>
        <v>1575.298386040299</v>
      </c>
      <c r="J292" s="140">
        <f>IF(K291&gt;=(D292*D296),D295,0)</f>
        <v>0</v>
      </c>
      <c r="K292" s="140">
        <f t="shared" si="26"/>
        <v>300338.28530321934</v>
      </c>
      <c r="L292" s="141">
        <v>0</v>
      </c>
      <c r="M292" s="5"/>
    </row>
    <row r="293" spans="2:13" ht="15.75" customHeight="1" x14ac:dyDescent="0.25">
      <c r="B293" s="14"/>
      <c r="C293" s="142" t="s">
        <v>111</v>
      </c>
      <c r="D293" s="143">
        <f t="shared" si="27"/>
        <v>600000</v>
      </c>
      <c r="E293" s="144"/>
      <c r="F293" s="54">
        <v>255</v>
      </c>
      <c r="G293" s="140">
        <f t="shared" si="25"/>
        <v>3694.3032025583493</v>
      </c>
      <c r="H293" s="140">
        <f t="shared" si="24"/>
        <v>2130.0412999374153</v>
      </c>
      <c r="I293" s="140">
        <f>K292*D291/12</f>
        <v>1564.2619026209341</v>
      </c>
      <c r="J293" s="140">
        <f>IF(K292&gt;=(D292*D296),D295,0)</f>
        <v>0</v>
      </c>
      <c r="K293" s="140">
        <f t="shared" si="26"/>
        <v>298208.24400328193</v>
      </c>
      <c r="L293" s="141">
        <v>0</v>
      </c>
      <c r="M293" s="5"/>
    </row>
    <row r="294" spans="2:13" ht="15.75" customHeight="1" x14ac:dyDescent="0.25">
      <c r="B294" s="14"/>
      <c r="C294" s="142" t="s">
        <v>112</v>
      </c>
      <c r="D294" s="145">
        <f t="shared" si="27"/>
        <v>360</v>
      </c>
      <c r="E294" s="123"/>
      <c r="F294" s="54">
        <v>256</v>
      </c>
      <c r="G294" s="140">
        <f t="shared" si="25"/>
        <v>3694.3032025583493</v>
      </c>
      <c r="H294" s="140">
        <f t="shared" si="24"/>
        <v>2141.1352650412559</v>
      </c>
      <c r="I294" s="140">
        <f>K293*D291/12</f>
        <v>1553.1679375170934</v>
      </c>
      <c r="J294" s="140">
        <f>IF(K293&gt;=(D292*D296),D295,0)</f>
        <v>0</v>
      </c>
      <c r="K294" s="140">
        <f t="shared" si="26"/>
        <v>296067.10873824067</v>
      </c>
      <c r="L294" s="141">
        <v>0</v>
      </c>
      <c r="M294" s="5"/>
    </row>
    <row r="295" spans="2:13" ht="15.75" customHeight="1" x14ac:dyDescent="0.25">
      <c r="B295" s="14"/>
      <c r="C295" s="142" t="s">
        <v>32</v>
      </c>
      <c r="D295" s="146" t="str">
        <f t="shared" si="27"/>
        <v/>
      </c>
      <c r="E295" s="147"/>
      <c r="F295" s="54">
        <v>257</v>
      </c>
      <c r="G295" s="140">
        <f t="shared" si="25"/>
        <v>3694.3032025583493</v>
      </c>
      <c r="H295" s="140">
        <f t="shared" si="24"/>
        <v>2152.287011213346</v>
      </c>
      <c r="I295" s="140">
        <f>K294*D291/12</f>
        <v>1542.0161913450036</v>
      </c>
      <c r="J295" s="140">
        <f>IF(K294&gt;=(D292*D296),D295,0)</f>
        <v>0</v>
      </c>
      <c r="K295" s="140">
        <f t="shared" si="26"/>
        <v>293914.8217270273</v>
      </c>
      <c r="L295" s="141">
        <v>0</v>
      </c>
      <c r="M295" s="5"/>
    </row>
    <row r="296" spans="2:13" ht="15.75" customHeight="1" x14ac:dyDescent="0.25">
      <c r="B296" s="14"/>
      <c r="C296" s="148" t="s">
        <v>113</v>
      </c>
      <c r="D296" s="149">
        <f t="shared" si="27"/>
        <v>0.8</v>
      </c>
      <c r="E296" s="150"/>
      <c r="F296" s="54">
        <v>258</v>
      </c>
      <c r="G296" s="140">
        <f t="shared" si="25"/>
        <v>3694.3032025583493</v>
      </c>
      <c r="H296" s="140">
        <f t="shared" si="24"/>
        <v>2163.4968393967488</v>
      </c>
      <c r="I296" s="140">
        <f>K295*D291/12</f>
        <v>1530.8063631616005</v>
      </c>
      <c r="J296" s="140">
        <f>IF(K295&gt;=(D292*D296),D295,0)</f>
        <v>0</v>
      </c>
      <c r="K296" s="140">
        <f t="shared" si="26"/>
        <v>291751.32488763053</v>
      </c>
      <c r="L296" s="141">
        <v>0</v>
      </c>
      <c r="M296" s="5"/>
    </row>
    <row r="297" spans="2:13" ht="15.75" customHeight="1" x14ac:dyDescent="0.25">
      <c r="B297" s="14"/>
      <c r="C297" s="123"/>
      <c r="D297" s="123"/>
      <c r="E297" s="123"/>
      <c r="F297" s="54">
        <v>259</v>
      </c>
      <c r="G297" s="140">
        <f t="shared" si="25"/>
        <v>3694.3032025583493</v>
      </c>
      <c r="H297" s="140">
        <f t="shared" si="24"/>
        <v>2174.7650521019405</v>
      </c>
      <c r="I297" s="140">
        <f>K296*D291/12</f>
        <v>1519.5381504564091</v>
      </c>
      <c r="J297" s="140">
        <f>IF(K296&gt;=(D292*D296),D295,0)</f>
        <v>0</v>
      </c>
      <c r="K297" s="140">
        <f t="shared" si="26"/>
        <v>289576.55983552861</v>
      </c>
      <c r="L297" s="141">
        <v>0</v>
      </c>
      <c r="M297" s="5"/>
    </row>
    <row r="298" spans="2:13" ht="15.75" customHeight="1" x14ac:dyDescent="0.25">
      <c r="B298" s="14"/>
      <c r="C298" s="123"/>
      <c r="D298" s="123"/>
      <c r="E298" s="123"/>
      <c r="F298" s="54">
        <v>260</v>
      </c>
      <c r="G298" s="140">
        <f t="shared" si="25"/>
        <v>3694.3032025583493</v>
      </c>
      <c r="H298" s="140">
        <f t="shared" si="24"/>
        <v>2186.0919534149712</v>
      </c>
      <c r="I298" s="140">
        <f>K297*D291/12</f>
        <v>1508.2112491433782</v>
      </c>
      <c r="J298" s="140">
        <f>IF(K297&gt;=(D292*D296),D295,0)</f>
        <v>0</v>
      </c>
      <c r="K298" s="140">
        <f t="shared" si="26"/>
        <v>287390.46788211365</v>
      </c>
      <c r="L298" s="141">
        <v>0</v>
      </c>
      <c r="M298" s="5"/>
    </row>
    <row r="299" spans="2:13" ht="15.75" customHeight="1" x14ac:dyDescent="0.25">
      <c r="B299" s="14"/>
      <c r="C299" s="123"/>
      <c r="D299" s="123"/>
      <c r="E299" s="123"/>
      <c r="F299" s="54">
        <v>261</v>
      </c>
      <c r="G299" s="140">
        <f t="shared" si="25"/>
        <v>3694.3032025583493</v>
      </c>
      <c r="H299" s="140">
        <f t="shared" si="24"/>
        <v>2197.4778490056742</v>
      </c>
      <c r="I299" s="140">
        <f>K298*D291/12</f>
        <v>1496.8253535526753</v>
      </c>
      <c r="J299" s="140">
        <f>IF(K298&gt;=(D292*D296),D295,0)</f>
        <v>0</v>
      </c>
      <c r="K299" s="140">
        <f t="shared" si="26"/>
        <v>285192.99003310798</v>
      </c>
      <c r="L299" s="141">
        <v>0</v>
      </c>
      <c r="M299" s="5"/>
    </row>
    <row r="300" spans="2:13" ht="15.75" customHeight="1" x14ac:dyDescent="0.25">
      <c r="B300" s="14"/>
      <c r="C300" s="147"/>
      <c r="D300" s="123"/>
      <c r="E300" s="123"/>
      <c r="F300" s="54">
        <v>262</v>
      </c>
      <c r="G300" s="140">
        <f t="shared" si="25"/>
        <v>3694.3032025583493</v>
      </c>
      <c r="H300" s="140">
        <f t="shared" si="24"/>
        <v>2208.923046135912</v>
      </c>
      <c r="I300" s="140">
        <f>K299*D291/12</f>
        <v>1485.3801564224375</v>
      </c>
      <c r="J300" s="140">
        <f>IF(K299&gt;=(D292*D296),D295,0)</f>
        <v>0</v>
      </c>
      <c r="K300" s="140">
        <f t="shared" si="26"/>
        <v>282984.06698697206</v>
      </c>
      <c r="L300" s="141">
        <v>0</v>
      </c>
      <c r="M300" s="5"/>
    </row>
    <row r="301" spans="2:13" ht="15.75" customHeight="1" x14ac:dyDescent="0.25">
      <c r="B301" s="14"/>
      <c r="C301" s="123"/>
      <c r="D301" s="123"/>
      <c r="E301" s="123"/>
      <c r="F301" s="54">
        <v>263</v>
      </c>
      <c r="G301" s="140">
        <f t="shared" si="25"/>
        <v>3694.3032025583493</v>
      </c>
      <c r="H301" s="140">
        <f t="shared" si="24"/>
        <v>2220.4278536678698</v>
      </c>
      <c r="I301" s="140">
        <f>K300*D291/12</f>
        <v>1473.8753488904795</v>
      </c>
      <c r="J301" s="140">
        <f>IF(K300&gt;=(D292*D296),D295,0)</f>
        <v>0</v>
      </c>
      <c r="K301" s="140">
        <f t="shared" si="26"/>
        <v>280763.63913330418</v>
      </c>
      <c r="L301" s="141">
        <v>0</v>
      </c>
      <c r="M301" s="5"/>
    </row>
    <row r="302" spans="2:13" ht="15.75" customHeight="1" x14ac:dyDescent="0.25">
      <c r="B302" s="14"/>
      <c r="C302" s="123"/>
      <c r="D302" s="123"/>
      <c r="E302" s="123"/>
      <c r="F302" s="151">
        <v>264</v>
      </c>
      <c r="G302" s="140">
        <f t="shared" si="25"/>
        <v>3694.3032025583493</v>
      </c>
      <c r="H302" s="140">
        <f t="shared" si="24"/>
        <v>2231.9925820723902</v>
      </c>
      <c r="I302" s="140">
        <f>K301*D291/12</f>
        <v>1462.3106204859594</v>
      </c>
      <c r="J302" s="140">
        <f>IF(K301&gt;=(D292*D296),D295,0)</f>
        <v>0</v>
      </c>
      <c r="K302" s="140">
        <f t="shared" si="26"/>
        <v>278531.6465512318</v>
      </c>
      <c r="L302" s="141">
        <v>0</v>
      </c>
      <c r="M302" s="5"/>
    </row>
    <row r="303" spans="2:13" ht="15.75" customHeight="1" x14ac:dyDescent="0.25">
      <c r="B303" s="14"/>
      <c r="C303" s="123"/>
      <c r="D303" s="123"/>
      <c r="E303" s="123"/>
      <c r="F303" s="54">
        <v>265</v>
      </c>
      <c r="G303" s="140">
        <f t="shared" si="25"/>
        <v>3694.3032025583493</v>
      </c>
      <c r="H303" s="140">
        <f t="shared" si="24"/>
        <v>2243.6175434373504</v>
      </c>
      <c r="I303" s="140">
        <f>K302*D291/12</f>
        <v>1450.6856591209989</v>
      </c>
      <c r="J303" s="140">
        <f>IF(K302&gt;=(D292*D296),D295,0)</f>
        <v>0</v>
      </c>
      <c r="K303" s="140">
        <f t="shared" si="26"/>
        <v>276288.02900779445</v>
      </c>
      <c r="L303" s="141">
        <v>0</v>
      </c>
      <c r="M303" s="5"/>
    </row>
    <row r="304" spans="2:13" ht="15.75" customHeight="1" x14ac:dyDescent="0.25">
      <c r="B304" s="14"/>
      <c r="C304" s="123"/>
      <c r="D304" s="123"/>
      <c r="E304" s="123"/>
      <c r="F304" s="162">
        <v>266</v>
      </c>
      <c r="G304" s="140">
        <f t="shared" si="25"/>
        <v>3694.3032025583493</v>
      </c>
      <c r="H304" s="140">
        <f t="shared" si="24"/>
        <v>2255.3030514760867</v>
      </c>
      <c r="I304" s="140">
        <f>K303*D291/12</f>
        <v>1439.0001510822628</v>
      </c>
      <c r="J304" s="140">
        <f>IF(K303&gt;=(D292*D296),D295,0)</f>
        <v>0</v>
      </c>
      <c r="K304" s="140">
        <f t="shared" si="26"/>
        <v>274032.72595631838</v>
      </c>
      <c r="L304" s="141">
        <v>0</v>
      </c>
      <c r="M304" s="5"/>
    </row>
    <row r="305" spans="2:13" ht="15.75" customHeight="1" x14ac:dyDescent="0.25">
      <c r="B305" s="14"/>
      <c r="C305" s="123"/>
      <c r="D305" s="123"/>
      <c r="E305" s="123"/>
      <c r="F305" s="54">
        <v>267</v>
      </c>
      <c r="G305" s="140">
        <f t="shared" si="25"/>
        <v>3694.3032025583493</v>
      </c>
      <c r="H305" s="140">
        <f t="shared" si="24"/>
        <v>2267.0494215358576</v>
      </c>
      <c r="I305" s="140">
        <f>K304*D291/12</f>
        <v>1427.2537810224915</v>
      </c>
      <c r="J305" s="140">
        <f>IF(K304&gt;=(D292*D296),D295,0)</f>
        <v>0</v>
      </c>
      <c r="K305" s="140">
        <f t="shared" si="26"/>
        <v>271765.67653478251</v>
      </c>
      <c r="L305" s="141">
        <v>0</v>
      </c>
      <c r="M305" s="5"/>
    </row>
    <row r="306" spans="2:13" ht="15.75" customHeight="1" x14ac:dyDescent="0.25">
      <c r="B306" s="14"/>
      <c r="C306" s="123"/>
      <c r="D306" s="123"/>
      <c r="E306" s="123"/>
      <c r="F306" s="54">
        <v>268</v>
      </c>
      <c r="G306" s="140">
        <f t="shared" si="25"/>
        <v>3694.3032025583493</v>
      </c>
      <c r="H306" s="140">
        <f t="shared" si="24"/>
        <v>2278.8569706063572</v>
      </c>
      <c r="I306" s="140">
        <f>K305*D291/12</f>
        <v>1415.4462319519923</v>
      </c>
      <c r="J306" s="140">
        <f>IF(K305&gt;=(D292*D296),D295,0)</f>
        <v>0</v>
      </c>
      <c r="K306" s="140">
        <f t="shared" si="26"/>
        <v>269486.81956417614</v>
      </c>
      <c r="L306" s="141">
        <v>0</v>
      </c>
      <c r="M306" s="5"/>
    </row>
    <row r="307" spans="2:13" ht="15.75" customHeight="1" x14ac:dyDescent="0.25">
      <c r="B307" s="14"/>
      <c r="C307" s="123"/>
      <c r="D307" s="123"/>
      <c r="E307" s="123"/>
      <c r="F307" s="54">
        <v>269</v>
      </c>
      <c r="G307" s="140">
        <f t="shared" si="25"/>
        <v>3694.3032025583493</v>
      </c>
      <c r="H307" s="140">
        <f t="shared" si="24"/>
        <v>2290.7260173282652</v>
      </c>
      <c r="I307" s="140">
        <f>K306*D291/12</f>
        <v>1403.5771852300841</v>
      </c>
      <c r="J307" s="140">
        <f>IF(K306&gt;=(D292*D296),D295,0)</f>
        <v>0</v>
      </c>
      <c r="K307" s="140">
        <f t="shared" si="26"/>
        <v>267196.09354684787</v>
      </c>
      <c r="L307" s="141">
        <v>0</v>
      </c>
      <c r="M307" s="5"/>
    </row>
    <row r="308" spans="2:13" ht="15.75" customHeight="1" x14ac:dyDescent="0.25">
      <c r="B308" s="14"/>
      <c r="C308" s="123"/>
      <c r="D308" s="123"/>
      <c r="E308" s="123"/>
      <c r="F308" s="54">
        <v>270</v>
      </c>
      <c r="G308" s="140">
        <f t="shared" si="25"/>
        <v>3694.3032025583493</v>
      </c>
      <c r="H308" s="140">
        <f t="shared" si="24"/>
        <v>2302.6568820018501</v>
      </c>
      <c r="I308" s="140">
        <f>K307*D291/12</f>
        <v>1391.6463205564994</v>
      </c>
      <c r="J308" s="140">
        <f>IF(K307&gt;=(D292*D296),D295,0)</f>
        <v>0</v>
      </c>
      <c r="K308" s="140">
        <f t="shared" si="26"/>
        <v>264893.43666484603</v>
      </c>
      <c r="L308" s="141">
        <v>0</v>
      </c>
      <c r="M308" s="5"/>
    </row>
    <row r="309" spans="2:13" ht="15.75" customHeight="1" x14ac:dyDescent="0.25">
      <c r="B309" s="14"/>
      <c r="C309" s="123"/>
      <c r="D309" s="123"/>
      <c r="E309" s="123"/>
      <c r="F309" s="54">
        <v>271</v>
      </c>
      <c r="G309" s="140">
        <f t="shared" si="25"/>
        <v>3694.3032025583493</v>
      </c>
      <c r="H309" s="140">
        <f t="shared" si="24"/>
        <v>2314.6498865956096</v>
      </c>
      <c r="I309" s="140">
        <f>K308*D291/12</f>
        <v>1379.6533159627397</v>
      </c>
      <c r="J309" s="140">
        <f>IF(K308&gt;=(D292*D296),D295,0)</f>
        <v>0</v>
      </c>
      <c r="K309" s="140">
        <f t="shared" si="26"/>
        <v>262578.78677825042</v>
      </c>
      <c r="L309" s="141">
        <v>0</v>
      </c>
      <c r="M309" s="5"/>
    </row>
    <row r="310" spans="2:13" ht="15.75" customHeight="1" x14ac:dyDescent="0.25">
      <c r="B310" s="14"/>
      <c r="C310" s="123"/>
      <c r="D310" s="123"/>
      <c r="E310" s="123"/>
      <c r="F310" s="54">
        <v>272</v>
      </c>
      <c r="G310" s="140">
        <f t="shared" si="25"/>
        <v>3694.3032025583493</v>
      </c>
      <c r="H310" s="140">
        <f t="shared" si="24"/>
        <v>2326.7053547549617</v>
      </c>
      <c r="I310" s="140">
        <f>K309*D291/12</f>
        <v>1367.5978478033876</v>
      </c>
      <c r="J310" s="140">
        <f>IF(K309&gt;=(D292*D296),D295,0)</f>
        <v>0</v>
      </c>
      <c r="K310" s="140">
        <f t="shared" si="26"/>
        <v>260252.08142349546</v>
      </c>
      <c r="L310" s="141">
        <v>0</v>
      </c>
      <c r="M310" s="5"/>
    </row>
    <row r="311" spans="2:13" ht="15.75" customHeight="1" x14ac:dyDescent="0.25">
      <c r="B311" s="14"/>
      <c r="C311" s="123"/>
      <c r="D311" s="123"/>
      <c r="E311" s="123"/>
      <c r="F311" s="54">
        <v>273</v>
      </c>
      <c r="G311" s="140">
        <f t="shared" si="25"/>
        <v>3694.3032025583493</v>
      </c>
      <c r="H311" s="140">
        <f t="shared" si="24"/>
        <v>2338.8236118109771</v>
      </c>
      <c r="I311" s="140">
        <f>K310*D291/12</f>
        <v>1355.4795907473722</v>
      </c>
      <c r="J311" s="140">
        <f>IF(K310&gt;=(D292*D296),D295,0)</f>
        <v>0</v>
      </c>
      <c r="K311" s="140">
        <f t="shared" si="26"/>
        <v>257913.25781168448</v>
      </c>
      <c r="L311" s="141">
        <v>0</v>
      </c>
      <c r="M311" s="5"/>
    </row>
    <row r="312" spans="2:13" ht="15.75" customHeight="1" x14ac:dyDescent="0.25">
      <c r="B312" s="14"/>
      <c r="C312" s="123"/>
      <c r="D312" s="123"/>
      <c r="E312" s="123"/>
      <c r="F312" s="54">
        <v>274</v>
      </c>
      <c r="G312" s="140">
        <f t="shared" si="25"/>
        <v>3694.3032025583493</v>
      </c>
      <c r="H312" s="140">
        <f t="shared" si="24"/>
        <v>2351.0049847891596</v>
      </c>
      <c r="I312" s="140">
        <f>K311*D291/12</f>
        <v>1343.2982177691899</v>
      </c>
      <c r="J312" s="140">
        <f>IF(K311&gt;=(D292*D296),D295,0)</f>
        <v>0</v>
      </c>
      <c r="K312" s="140">
        <f t="shared" si="26"/>
        <v>255562.25282689533</v>
      </c>
      <c r="L312" s="141">
        <v>0</v>
      </c>
      <c r="M312" s="5"/>
    </row>
    <row r="313" spans="2:13" ht="15.75" customHeight="1" x14ac:dyDescent="0.25">
      <c r="B313" s="14"/>
      <c r="C313" s="123"/>
      <c r="D313" s="123"/>
      <c r="E313" s="123"/>
      <c r="F313" s="54">
        <v>275</v>
      </c>
      <c r="G313" s="140">
        <f t="shared" si="25"/>
        <v>3694.3032025583493</v>
      </c>
      <c r="H313" s="140">
        <f t="shared" si="24"/>
        <v>2363.2498024182696</v>
      </c>
      <c r="I313" s="140">
        <f>K312*D291/12</f>
        <v>1331.0534001400799</v>
      </c>
      <c r="J313" s="140">
        <f>IF(K312&gt;=(D292*D296),D295,0)</f>
        <v>0</v>
      </c>
      <c r="K313" s="140">
        <f t="shared" si="26"/>
        <v>253199.00302447708</v>
      </c>
      <c r="L313" s="141">
        <v>0</v>
      </c>
      <c r="M313" s="5"/>
    </row>
    <row r="314" spans="2:13" ht="15.75" customHeight="1" x14ac:dyDescent="0.25">
      <c r="B314" s="14"/>
      <c r="C314" s="123"/>
      <c r="D314" s="123"/>
      <c r="E314" s="123"/>
      <c r="F314" s="151">
        <v>276</v>
      </c>
      <c r="G314" s="140">
        <f t="shared" si="25"/>
        <v>3694.3032025583493</v>
      </c>
      <c r="H314" s="140">
        <f t="shared" si="24"/>
        <v>2375.5583951391982</v>
      </c>
      <c r="I314" s="140">
        <f>K313*D291/12</f>
        <v>1318.7448074191514</v>
      </c>
      <c r="J314" s="140">
        <f>IF(K313&gt;=(D292*D296),D295,0)</f>
        <v>0</v>
      </c>
      <c r="K314" s="140">
        <f t="shared" si="26"/>
        <v>250823.44462933787</v>
      </c>
      <c r="L314" s="141">
        <v>0</v>
      </c>
      <c r="M314" s="5"/>
    </row>
    <row r="315" spans="2:13" ht="15.75" customHeight="1" x14ac:dyDescent="0.25">
      <c r="B315" s="14"/>
      <c r="C315" s="123"/>
      <c r="D315" s="123"/>
      <c r="E315" s="123"/>
      <c r="F315" s="54">
        <v>277</v>
      </c>
      <c r="G315" s="140">
        <f t="shared" si="25"/>
        <v>3694.3032025583493</v>
      </c>
      <c r="H315" s="140">
        <f t="shared" si="24"/>
        <v>2387.9310951138814</v>
      </c>
      <c r="I315" s="140">
        <f>K314*D291/12</f>
        <v>1306.3721074444682</v>
      </c>
      <c r="J315" s="140">
        <f>IF(K314&gt;=(D292*D296),D295,0)</f>
        <v>0</v>
      </c>
      <c r="K315" s="140">
        <f t="shared" si="26"/>
        <v>248435.51353422398</v>
      </c>
      <c r="L315" s="141">
        <v>0</v>
      </c>
      <c r="M315" s="5"/>
    </row>
    <row r="316" spans="2:13" ht="15.75" customHeight="1" x14ac:dyDescent="0.25">
      <c r="B316" s="14"/>
      <c r="C316" s="123"/>
      <c r="D316" s="123"/>
      <c r="E316" s="123"/>
      <c r="F316" s="162">
        <v>278</v>
      </c>
      <c r="G316" s="140">
        <f t="shared" si="25"/>
        <v>3694.3032025583493</v>
      </c>
      <c r="H316" s="140">
        <f t="shared" si="24"/>
        <v>2400.3682362342661</v>
      </c>
      <c r="I316" s="140">
        <f>K315*D291/12</f>
        <v>1293.9349663240832</v>
      </c>
      <c r="J316" s="140">
        <f>IF(K315&gt;=(D292*D296),D295,0)</f>
        <v>0</v>
      </c>
      <c r="K316" s="140">
        <f t="shared" si="26"/>
        <v>246035.14529798971</v>
      </c>
      <c r="L316" s="141">
        <v>0</v>
      </c>
      <c r="M316" s="5"/>
    </row>
    <row r="317" spans="2:13" ht="15.75" customHeight="1" x14ac:dyDescent="0.25">
      <c r="B317" s="14"/>
      <c r="C317" s="123"/>
      <c r="D317" s="123"/>
      <c r="E317" s="123"/>
      <c r="F317" s="54">
        <v>279</v>
      </c>
      <c r="G317" s="140">
        <f t="shared" si="25"/>
        <v>3694.3032025583493</v>
      </c>
      <c r="H317" s="140">
        <f t="shared" si="24"/>
        <v>2412.8701541313194</v>
      </c>
      <c r="I317" s="140">
        <f>K316*D291/12</f>
        <v>1281.4330484270297</v>
      </c>
      <c r="J317" s="140">
        <f>IF(K316&gt;=(D292*D296),D295,0)</f>
        <v>0</v>
      </c>
      <c r="K317" s="140">
        <f t="shared" si="26"/>
        <v>243622.27514385839</v>
      </c>
      <c r="L317" s="141">
        <v>0</v>
      </c>
      <c r="M317" s="5"/>
    </row>
    <row r="318" spans="2:13" ht="15.75" customHeight="1" x14ac:dyDescent="0.25">
      <c r="B318" s="14"/>
      <c r="C318" s="123"/>
      <c r="D318" s="123"/>
      <c r="E318" s="123"/>
      <c r="F318" s="54">
        <v>280</v>
      </c>
      <c r="G318" s="140">
        <f t="shared" si="25"/>
        <v>3694.3032025583493</v>
      </c>
      <c r="H318" s="140">
        <f t="shared" si="24"/>
        <v>2425.4371861840868</v>
      </c>
      <c r="I318" s="140">
        <f>K317*D291/12</f>
        <v>1268.8660163742625</v>
      </c>
      <c r="J318" s="140">
        <f>IF(K317&gt;=(D292*D296),D295,0)</f>
        <v>0</v>
      </c>
      <c r="K318" s="140">
        <f t="shared" si="26"/>
        <v>241196.83795767432</v>
      </c>
      <c r="L318" s="141">
        <v>0</v>
      </c>
      <c r="M318" s="5"/>
    </row>
    <row r="319" spans="2:13" ht="15.75" customHeight="1" x14ac:dyDescent="0.25">
      <c r="B319" s="14"/>
      <c r="C319" s="123"/>
      <c r="D319" s="123"/>
      <c r="E319" s="123"/>
      <c r="F319" s="54">
        <v>281</v>
      </c>
      <c r="G319" s="140">
        <f t="shared" si="25"/>
        <v>3694.3032025583493</v>
      </c>
      <c r="H319" s="140">
        <f t="shared" si="24"/>
        <v>2438.0696715287959</v>
      </c>
      <c r="I319" s="140">
        <f>K318*D291/12</f>
        <v>1256.2335310295537</v>
      </c>
      <c r="J319" s="140">
        <f>IF(K318&gt;=(D292*D296),D295,0)</f>
        <v>0</v>
      </c>
      <c r="K319" s="140">
        <f t="shared" si="26"/>
        <v>238758.76828614553</v>
      </c>
      <c r="L319" s="141">
        <v>0</v>
      </c>
      <c r="M319" s="5"/>
    </row>
    <row r="320" spans="2:13" ht="15.75" customHeight="1" x14ac:dyDescent="0.25">
      <c r="B320" s="14"/>
      <c r="C320" s="123"/>
      <c r="D320" s="123"/>
      <c r="E320" s="123"/>
      <c r="F320" s="54">
        <v>282</v>
      </c>
      <c r="G320" s="140">
        <f t="shared" si="25"/>
        <v>3694.3032025583493</v>
      </c>
      <c r="H320" s="140">
        <f t="shared" si="24"/>
        <v>2450.7679510680082</v>
      </c>
      <c r="I320" s="140">
        <f>K319*D291/12</f>
        <v>1243.5352514903414</v>
      </c>
      <c r="J320" s="140">
        <f>IF(K319&gt;=(D292*D296),D295,0)</f>
        <v>0</v>
      </c>
      <c r="K320" s="140">
        <f t="shared" si="26"/>
        <v>236308.00033507752</v>
      </c>
      <c r="L320" s="141">
        <v>0</v>
      </c>
      <c r="M320" s="5"/>
    </row>
    <row r="321" spans="1:26" ht="15.75" customHeight="1" x14ac:dyDescent="0.25">
      <c r="B321" s="14"/>
      <c r="C321" s="123"/>
      <c r="D321" s="123"/>
      <c r="E321" s="123"/>
      <c r="F321" s="54">
        <v>283</v>
      </c>
      <c r="G321" s="140">
        <f t="shared" si="25"/>
        <v>3694.3032025583493</v>
      </c>
      <c r="H321" s="140">
        <f t="shared" si="24"/>
        <v>2463.5323674798206</v>
      </c>
      <c r="I321" s="140">
        <f>K320*D291/12</f>
        <v>1230.7708350785288</v>
      </c>
      <c r="J321" s="140">
        <f>IF(K320&gt;=(D292*D296),D295,0)</f>
        <v>0</v>
      </c>
      <c r="K321" s="140">
        <f t="shared" si="26"/>
        <v>233844.46796759771</v>
      </c>
      <c r="L321" s="141">
        <v>0</v>
      </c>
      <c r="M321" s="5"/>
    </row>
    <row r="322" spans="1:26" ht="15.75" customHeight="1" x14ac:dyDescent="0.25">
      <c r="B322" s="14"/>
      <c r="C322" s="123"/>
      <c r="D322" s="123"/>
      <c r="E322" s="123"/>
      <c r="F322" s="54">
        <v>284</v>
      </c>
      <c r="G322" s="140">
        <f t="shared" si="25"/>
        <v>3694.3032025583493</v>
      </c>
      <c r="H322" s="140">
        <f t="shared" si="24"/>
        <v>2476.3632652271112</v>
      </c>
      <c r="I322" s="140">
        <f>K321*D291/12</f>
        <v>1217.9399373312381</v>
      </c>
      <c r="J322" s="140">
        <f>IF(K321&gt;=(D292*D296),D295,0)</f>
        <v>0</v>
      </c>
      <c r="K322" s="140">
        <f t="shared" si="26"/>
        <v>231368.10470237059</v>
      </c>
      <c r="L322" s="141">
        <v>0</v>
      </c>
      <c r="M322" s="5"/>
    </row>
    <row r="323" spans="1:26" ht="15.75" customHeight="1" x14ac:dyDescent="0.25">
      <c r="B323" s="14"/>
      <c r="C323" s="123"/>
      <c r="D323" s="123"/>
      <c r="E323" s="123"/>
      <c r="F323" s="54">
        <v>285</v>
      </c>
      <c r="G323" s="140">
        <f t="shared" si="25"/>
        <v>3694.3032025583493</v>
      </c>
      <c r="H323" s="140">
        <f t="shared" si="24"/>
        <v>2489.260990566836</v>
      </c>
      <c r="I323" s="140">
        <f>K322*D291/12</f>
        <v>1205.0422119915136</v>
      </c>
      <c r="J323" s="140">
        <f>IF(K322&gt;=(D292*D296),D295,0)</f>
        <v>0</v>
      </c>
      <c r="K323" s="140">
        <f t="shared" si="26"/>
        <v>228878.84371180375</v>
      </c>
      <c r="L323" s="141">
        <v>0</v>
      </c>
      <c r="M323" s="5"/>
    </row>
    <row r="324" spans="1:26" ht="15.75" customHeight="1" x14ac:dyDescent="0.25">
      <c r="B324" s="14"/>
      <c r="C324" s="123"/>
      <c r="D324" s="123"/>
      <c r="E324" s="123"/>
      <c r="F324" s="54">
        <v>286</v>
      </c>
      <c r="G324" s="140">
        <f t="shared" si="25"/>
        <v>3694.3032025583493</v>
      </c>
      <c r="H324" s="140">
        <f t="shared" si="24"/>
        <v>2502.2258915593711</v>
      </c>
      <c r="I324" s="140">
        <f>K323*D291/12</f>
        <v>1192.077310998978</v>
      </c>
      <c r="J324" s="140">
        <f>IF(K323&gt;=(D292*D296),D295,0)</f>
        <v>0</v>
      </c>
      <c r="K324" s="140">
        <f t="shared" si="26"/>
        <v>226376.61782024437</v>
      </c>
      <c r="L324" s="141">
        <v>0</v>
      </c>
      <c r="M324" s="5"/>
    </row>
    <row r="325" spans="1:26" ht="15.75" customHeight="1" x14ac:dyDescent="0.25">
      <c r="B325" s="14"/>
      <c r="C325" s="123"/>
      <c r="D325" s="123"/>
      <c r="E325" s="123"/>
      <c r="F325" s="54">
        <v>287</v>
      </c>
      <c r="G325" s="140">
        <f t="shared" si="25"/>
        <v>3694.3032025583493</v>
      </c>
      <c r="H325" s="140">
        <f t="shared" si="24"/>
        <v>2515.2583180779102</v>
      </c>
      <c r="I325" s="140">
        <f>K324*D291/12</f>
        <v>1179.0448844804394</v>
      </c>
      <c r="J325" s="140">
        <f>IF(K324&gt;=(D292*D296),D295,0)</f>
        <v>0</v>
      </c>
      <c r="K325" s="140">
        <f t="shared" si="26"/>
        <v>223861.35950216645</v>
      </c>
      <c r="L325" s="141">
        <v>0</v>
      </c>
      <c r="M325" s="5"/>
    </row>
    <row r="326" spans="1:26" ht="15.75" customHeight="1" x14ac:dyDescent="0.25">
      <c r="B326" s="14"/>
      <c r="C326" s="123"/>
      <c r="D326" s="123"/>
      <c r="E326" s="123"/>
      <c r="F326" s="152">
        <v>288</v>
      </c>
      <c r="G326" s="153">
        <f t="shared" si="25"/>
        <v>3694.3032025583493</v>
      </c>
      <c r="H326" s="153">
        <f t="shared" si="24"/>
        <v>2528.3586218178989</v>
      </c>
      <c r="I326" s="153">
        <f>K325*D291/12</f>
        <v>1165.9445807404502</v>
      </c>
      <c r="J326" s="153">
        <f>IF(K325&gt;=(D292*D296),D295,0)</f>
        <v>0</v>
      </c>
      <c r="K326" s="153">
        <f t="shared" si="26"/>
        <v>221333.00088034855</v>
      </c>
      <c r="L326" s="154">
        <v>0</v>
      </c>
      <c r="M326" s="5"/>
    </row>
    <row r="327" spans="1:26" ht="11.25" customHeight="1" x14ac:dyDescent="0.25">
      <c r="B327" s="62"/>
      <c r="C327" s="155"/>
      <c r="D327" s="155"/>
      <c r="E327" s="155"/>
      <c r="F327" s="156"/>
      <c r="G327" s="157"/>
      <c r="H327" s="157"/>
      <c r="I327" s="157"/>
      <c r="J327" s="157"/>
      <c r="K327" s="157"/>
      <c r="L327" s="158"/>
      <c r="M327" s="64"/>
    </row>
    <row r="328" spans="1:26" ht="11.25" customHeight="1" x14ac:dyDescent="0.25">
      <c r="C328" s="120"/>
      <c r="D328" s="120"/>
      <c r="E328" s="120"/>
      <c r="F328" s="159"/>
      <c r="G328" s="140"/>
      <c r="H328" s="140"/>
      <c r="I328" s="140"/>
      <c r="J328" s="140"/>
      <c r="K328" s="140"/>
      <c r="L328" s="56"/>
    </row>
    <row r="329" spans="1:26" ht="11.25" customHeight="1" x14ac:dyDescent="0.25">
      <c r="B329" s="1"/>
      <c r="C329" s="160"/>
      <c r="D329" s="121"/>
      <c r="E329" s="121"/>
      <c r="F329" s="121"/>
      <c r="G329" s="121"/>
      <c r="H329" s="121"/>
      <c r="I329" s="121"/>
      <c r="J329" s="121"/>
      <c r="K329" s="121"/>
      <c r="L329" s="161"/>
      <c r="M329" s="3"/>
    </row>
    <row r="330" spans="1:26" ht="22.5" customHeight="1" x14ac:dyDescent="0.25">
      <c r="A330" s="129"/>
      <c r="B330" s="130"/>
      <c r="C330" s="131"/>
      <c r="D330" s="131"/>
      <c r="E330" s="131"/>
      <c r="F330" s="132" t="s">
        <v>103</v>
      </c>
      <c r="G330" s="133" t="s">
        <v>104</v>
      </c>
      <c r="H330" s="133" t="s">
        <v>105</v>
      </c>
      <c r="I330" s="133" t="s">
        <v>106</v>
      </c>
      <c r="J330" s="133" t="s">
        <v>107</v>
      </c>
      <c r="K330" s="133" t="s">
        <v>108</v>
      </c>
      <c r="L330" s="134" t="s">
        <v>109</v>
      </c>
      <c r="M330" s="135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spans="1:26" ht="11.25" customHeight="1" x14ac:dyDescent="0.25">
      <c r="B331" s="14"/>
      <c r="C331" s="123"/>
      <c r="D331" s="123"/>
      <c r="E331" s="123"/>
      <c r="F331" s="75"/>
      <c r="G331" s="76"/>
      <c r="H331" s="76"/>
      <c r="I331" s="76"/>
      <c r="J331" s="76"/>
      <c r="K331" s="76"/>
      <c r="L331" s="136"/>
      <c r="M331" s="5"/>
    </row>
    <row r="332" spans="1:26" ht="15.75" customHeight="1" x14ac:dyDescent="0.25">
      <c r="B332" s="14"/>
      <c r="C332" s="137" t="s">
        <v>114</v>
      </c>
      <c r="D332" s="138">
        <f t="shared" ref="D332:D337" si="28">D291</f>
        <v>6.25E-2</v>
      </c>
      <c r="E332" s="139"/>
      <c r="F332" s="54">
        <v>289</v>
      </c>
      <c r="G332" s="140">
        <f>IF(K326=0,0,G326)</f>
        <v>3694.3032025583493</v>
      </c>
      <c r="H332" s="140">
        <f t="shared" ref="H332:H373" si="29">G332-I332</f>
        <v>2541.5271563065339</v>
      </c>
      <c r="I332" s="140">
        <f>K326*D332/12</f>
        <v>1152.7760462518154</v>
      </c>
      <c r="J332" s="140">
        <f>IF(K326&gt;=(D333*D337),D336,0)</f>
        <v>0</v>
      </c>
      <c r="K332" s="140">
        <f>IF(K326-H332-L332&gt;0,K326-H332-L332,0)</f>
        <v>218791.47372404201</v>
      </c>
      <c r="L332" s="141">
        <v>0</v>
      </c>
      <c r="M332" s="5"/>
    </row>
    <row r="333" spans="1:26" ht="15.75" customHeight="1" x14ac:dyDescent="0.25">
      <c r="B333" s="14"/>
      <c r="C333" s="142" t="s">
        <v>3</v>
      </c>
      <c r="D333" s="143">
        <f t="shared" si="28"/>
        <v>750000</v>
      </c>
      <c r="E333" s="144"/>
      <c r="F333" s="162">
        <v>290</v>
      </c>
      <c r="G333" s="140">
        <f t="shared" ref="G333:G373" si="30">IF(K332=0,0,G332)</f>
        <v>3694.3032025583493</v>
      </c>
      <c r="H333" s="140">
        <f t="shared" si="29"/>
        <v>2554.7642769122972</v>
      </c>
      <c r="I333" s="140">
        <f>K332*D332/12</f>
        <v>1139.5389256460521</v>
      </c>
      <c r="J333" s="140">
        <f>IF(K332&gt;=(D333*D337),D336,0)</f>
        <v>0</v>
      </c>
      <c r="K333" s="140">
        <f t="shared" ref="K333:K373" si="31">IF(K332-H333-L333&gt;0,K332-H333-L333,)</f>
        <v>216236.70944712972</v>
      </c>
      <c r="L333" s="141">
        <v>0</v>
      </c>
      <c r="M333" s="5"/>
    </row>
    <row r="334" spans="1:26" ht="15.75" customHeight="1" x14ac:dyDescent="0.25">
      <c r="B334" s="14"/>
      <c r="C334" s="142" t="s">
        <v>111</v>
      </c>
      <c r="D334" s="143">
        <f t="shared" si="28"/>
        <v>600000</v>
      </c>
      <c r="E334" s="144"/>
      <c r="F334" s="54">
        <v>291</v>
      </c>
      <c r="G334" s="140">
        <f t="shared" si="30"/>
        <v>3694.3032025583493</v>
      </c>
      <c r="H334" s="140">
        <f t="shared" si="29"/>
        <v>2568.0703408545487</v>
      </c>
      <c r="I334" s="140">
        <f>K333*D332/12</f>
        <v>1126.2328617038006</v>
      </c>
      <c r="J334" s="140">
        <f>IF(K333&gt;=(D333*D337),D336,0)</f>
        <v>0</v>
      </c>
      <c r="K334" s="140">
        <f t="shared" si="31"/>
        <v>213668.63910627516</v>
      </c>
      <c r="L334" s="141">
        <v>0</v>
      </c>
      <c r="M334" s="5"/>
    </row>
    <row r="335" spans="1:26" ht="15.75" customHeight="1" x14ac:dyDescent="0.25">
      <c r="B335" s="14"/>
      <c r="C335" s="142" t="s">
        <v>112</v>
      </c>
      <c r="D335" s="145">
        <f t="shared" si="28"/>
        <v>360</v>
      </c>
      <c r="E335" s="123"/>
      <c r="F335" s="54">
        <v>292</v>
      </c>
      <c r="G335" s="140">
        <f t="shared" si="30"/>
        <v>3694.3032025583493</v>
      </c>
      <c r="H335" s="140">
        <f t="shared" si="29"/>
        <v>2581.4457072131663</v>
      </c>
      <c r="I335" s="140">
        <f>K334*D332/12</f>
        <v>1112.8574953451832</v>
      </c>
      <c r="J335" s="140">
        <f>IF(K334&gt;=(D333*D337),D336,0)</f>
        <v>0</v>
      </c>
      <c r="K335" s="140">
        <f t="shared" si="31"/>
        <v>211087.193399062</v>
      </c>
      <c r="L335" s="141">
        <v>0</v>
      </c>
      <c r="M335" s="5"/>
    </row>
    <row r="336" spans="1:26" ht="15.75" customHeight="1" x14ac:dyDescent="0.25">
      <c r="B336" s="14"/>
      <c r="C336" s="142" t="s">
        <v>32</v>
      </c>
      <c r="D336" s="146" t="str">
        <f t="shared" si="28"/>
        <v/>
      </c>
      <c r="E336" s="147"/>
      <c r="F336" s="54">
        <v>293</v>
      </c>
      <c r="G336" s="140">
        <f t="shared" si="30"/>
        <v>3694.3032025583493</v>
      </c>
      <c r="H336" s="140">
        <f t="shared" si="29"/>
        <v>2594.890736938235</v>
      </c>
      <c r="I336" s="140">
        <f>K335*D332/12</f>
        <v>1099.4124656201145</v>
      </c>
      <c r="J336" s="140">
        <f>IF(K335&gt;=(D333*D337),D336,0)</f>
        <v>0</v>
      </c>
      <c r="K336" s="140">
        <f t="shared" si="31"/>
        <v>208492.30266212378</v>
      </c>
      <c r="L336" s="141">
        <v>0</v>
      </c>
      <c r="M336" s="5"/>
    </row>
    <row r="337" spans="2:13" ht="15.75" customHeight="1" x14ac:dyDescent="0.25">
      <c r="B337" s="14"/>
      <c r="C337" s="148" t="s">
        <v>113</v>
      </c>
      <c r="D337" s="149">
        <f t="shared" si="28"/>
        <v>0.8</v>
      </c>
      <c r="E337" s="150"/>
      <c r="F337" s="54">
        <v>294</v>
      </c>
      <c r="G337" s="140">
        <f t="shared" si="30"/>
        <v>3694.3032025583493</v>
      </c>
      <c r="H337" s="140">
        <f t="shared" si="29"/>
        <v>2608.4057928597877</v>
      </c>
      <c r="I337" s="140">
        <f>K336*D332/12</f>
        <v>1085.8974096985614</v>
      </c>
      <c r="J337" s="140">
        <f>IF(K336&gt;=(D333*D337),D336,0)</f>
        <v>0</v>
      </c>
      <c r="K337" s="140">
        <f t="shared" si="31"/>
        <v>205883.89686926399</v>
      </c>
      <c r="L337" s="141">
        <v>0</v>
      </c>
      <c r="M337" s="5"/>
    </row>
    <row r="338" spans="2:13" ht="15.75" customHeight="1" x14ac:dyDescent="0.25">
      <c r="B338" s="14"/>
      <c r="C338" s="123"/>
      <c r="D338" s="123"/>
      <c r="E338" s="123"/>
      <c r="F338" s="54">
        <v>295</v>
      </c>
      <c r="G338" s="140">
        <f t="shared" si="30"/>
        <v>3694.3032025583493</v>
      </c>
      <c r="H338" s="140">
        <f t="shared" si="29"/>
        <v>2621.9912396975997</v>
      </c>
      <c r="I338" s="140">
        <f>K337*D332/12</f>
        <v>1072.3119628607499</v>
      </c>
      <c r="J338" s="140">
        <f>IF(K337&gt;=(D333*D337),D336,0)</f>
        <v>0</v>
      </c>
      <c r="K338" s="140">
        <f t="shared" si="31"/>
        <v>203261.9056295664</v>
      </c>
      <c r="L338" s="141">
        <v>0</v>
      </c>
      <c r="M338" s="5"/>
    </row>
    <row r="339" spans="2:13" ht="15.75" customHeight="1" x14ac:dyDescent="0.25">
      <c r="B339" s="14"/>
      <c r="C339" s="123"/>
      <c r="D339" s="123"/>
      <c r="E339" s="123"/>
      <c r="F339" s="54">
        <v>296</v>
      </c>
      <c r="G339" s="140">
        <f t="shared" si="30"/>
        <v>3694.3032025583493</v>
      </c>
      <c r="H339" s="140">
        <f t="shared" si="29"/>
        <v>2635.6474440710244</v>
      </c>
      <c r="I339" s="140">
        <f>K338*D332/12</f>
        <v>1058.6557584873251</v>
      </c>
      <c r="J339" s="140">
        <f>IF(K338&gt;=(D333*D337),D336,0)</f>
        <v>0</v>
      </c>
      <c r="K339" s="140">
        <f t="shared" si="31"/>
        <v>200626.25818549539</v>
      </c>
      <c r="L339" s="141">
        <v>0</v>
      </c>
      <c r="M339" s="5"/>
    </row>
    <row r="340" spans="2:13" ht="15.75" customHeight="1" x14ac:dyDescent="0.25">
      <c r="B340" s="14"/>
      <c r="C340" s="123"/>
      <c r="D340" s="123"/>
      <c r="E340" s="123"/>
      <c r="F340" s="54">
        <v>297</v>
      </c>
      <c r="G340" s="140">
        <f t="shared" si="30"/>
        <v>3694.3032025583493</v>
      </c>
      <c r="H340" s="140">
        <f t="shared" si="29"/>
        <v>2649.374774508894</v>
      </c>
      <c r="I340" s="140">
        <f>K339*D332/12</f>
        <v>1044.9284280494551</v>
      </c>
      <c r="J340" s="140">
        <f>IF(K339&gt;=(D333*D337),D336,0)</f>
        <v>0</v>
      </c>
      <c r="K340" s="140">
        <f t="shared" si="31"/>
        <v>197976.88341098648</v>
      </c>
      <c r="L340" s="141">
        <v>0</v>
      </c>
      <c r="M340" s="5"/>
    </row>
    <row r="341" spans="2:13" ht="15.75" customHeight="1" x14ac:dyDescent="0.25">
      <c r="B341" s="14"/>
      <c r="C341" s="147"/>
      <c r="D341" s="123"/>
      <c r="E341" s="123"/>
      <c r="F341" s="54">
        <v>298</v>
      </c>
      <c r="G341" s="140">
        <f t="shared" si="30"/>
        <v>3694.3032025583493</v>
      </c>
      <c r="H341" s="140">
        <f t="shared" si="29"/>
        <v>2663.1736014594617</v>
      </c>
      <c r="I341" s="140">
        <f>K340*D332/12</f>
        <v>1031.1296010988879</v>
      </c>
      <c r="J341" s="140">
        <f>IF(K340&gt;=(D333*D337),D336,0)</f>
        <v>0</v>
      </c>
      <c r="K341" s="140">
        <f t="shared" si="31"/>
        <v>195313.70980952703</v>
      </c>
      <c r="L341" s="141">
        <v>0</v>
      </c>
      <c r="M341" s="5"/>
    </row>
    <row r="342" spans="2:13" ht="15.75" customHeight="1" x14ac:dyDescent="0.25">
      <c r="B342" s="14"/>
      <c r="C342" s="123"/>
      <c r="D342" s="123"/>
      <c r="E342" s="123"/>
      <c r="F342" s="54">
        <v>299</v>
      </c>
      <c r="G342" s="140">
        <f t="shared" si="30"/>
        <v>3694.3032025583493</v>
      </c>
      <c r="H342" s="140">
        <f t="shared" si="29"/>
        <v>2677.044297300396</v>
      </c>
      <c r="I342" s="140">
        <f>K341*D332/12</f>
        <v>1017.2589052579533</v>
      </c>
      <c r="J342" s="140">
        <f>IF(K341&gt;=(D333*D337),D336,0)</f>
        <v>0</v>
      </c>
      <c r="K342" s="140">
        <f t="shared" si="31"/>
        <v>192636.66551222664</v>
      </c>
      <c r="L342" s="141">
        <v>0</v>
      </c>
      <c r="M342" s="5"/>
    </row>
    <row r="343" spans="2:13" ht="15.75" customHeight="1" x14ac:dyDescent="0.25">
      <c r="B343" s="14"/>
      <c r="C343" s="123"/>
      <c r="D343" s="123"/>
      <c r="E343" s="123"/>
      <c r="F343" s="151">
        <v>300</v>
      </c>
      <c r="G343" s="140">
        <f t="shared" si="30"/>
        <v>3694.3032025583493</v>
      </c>
      <c r="H343" s="140">
        <f t="shared" si="29"/>
        <v>2690.9872363488357</v>
      </c>
      <c r="I343" s="140">
        <f>K342*D332/12</f>
        <v>1003.3159662095137</v>
      </c>
      <c r="J343" s="140">
        <f>IF(K342&gt;=(D333*D337),D336,0)</f>
        <v>0</v>
      </c>
      <c r="K343" s="140">
        <f t="shared" si="31"/>
        <v>189945.67827587781</v>
      </c>
      <c r="L343" s="141">
        <v>0</v>
      </c>
      <c r="M343" s="5"/>
    </row>
    <row r="344" spans="2:13" ht="15.75" customHeight="1" x14ac:dyDescent="0.25">
      <c r="B344" s="14"/>
      <c r="C344" s="123"/>
      <c r="D344" s="123"/>
      <c r="E344" s="123"/>
      <c r="F344" s="54">
        <v>301</v>
      </c>
      <c r="G344" s="140">
        <f t="shared" si="30"/>
        <v>3694.3032025583493</v>
      </c>
      <c r="H344" s="140">
        <f t="shared" si="29"/>
        <v>2705.0027948714855</v>
      </c>
      <c r="I344" s="140">
        <f>K343*D332/12</f>
        <v>989.30040768686365</v>
      </c>
      <c r="J344" s="140">
        <f>IF(K343&gt;=(D333*D337),D336,0)</f>
        <v>0</v>
      </c>
      <c r="K344" s="140">
        <f t="shared" si="31"/>
        <v>187240.67548100633</v>
      </c>
      <c r="L344" s="141">
        <v>0</v>
      </c>
      <c r="M344" s="5"/>
    </row>
    <row r="345" spans="2:13" ht="15.75" customHeight="1" x14ac:dyDescent="0.25">
      <c r="B345" s="14"/>
      <c r="C345" s="123"/>
      <c r="D345" s="123"/>
      <c r="E345" s="123"/>
      <c r="F345" s="162">
        <v>302</v>
      </c>
      <c r="G345" s="140">
        <f t="shared" si="30"/>
        <v>3694.3032025583493</v>
      </c>
      <c r="H345" s="140">
        <f t="shared" si="29"/>
        <v>2719.0913510947748</v>
      </c>
      <c r="I345" s="140">
        <f>K344*D332/12</f>
        <v>975.21185146357459</v>
      </c>
      <c r="J345" s="140">
        <f>IF(K344&gt;=(D333*D337),D336,0)</f>
        <v>0</v>
      </c>
      <c r="K345" s="140">
        <f t="shared" si="31"/>
        <v>184521.58412991156</v>
      </c>
      <c r="L345" s="141">
        <v>0</v>
      </c>
      <c r="M345" s="5"/>
    </row>
    <row r="346" spans="2:13" ht="15.75" customHeight="1" x14ac:dyDescent="0.25">
      <c r="B346" s="14"/>
      <c r="C346" s="123"/>
      <c r="D346" s="123"/>
      <c r="E346" s="123"/>
      <c r="F346" s="54">
        <v>303</v>
      </c>
      <c r="G346" s="140">
        <f t="shared" si="30"/>
        <v>3694.3032025583493</v>
      </c>
      <c r="H346" s="140">
        <f t="shared" si="29"/>
        <v>2733.2532852150598</v>
      </c>
      <c r="I346" s="140">
        <f>K345*D332/12</f>
        <v>961.04991734328939</v>
      </c>
      <c r="J346" s="140">
        <f>IF(K345&gt;=(D333*D337),D336,0)</f>
        <v>0</v>
      </c>
      <c r="K346" s="140">
        <f t="shared" si="31"/>
        <v>181788.33084469649</v>
      </c>
      <c r="L346" s="141">
        <v>0</v>
      </c>
      <c r="M346" s="5"/>
    </row>
    <row r="347" spans="2:13" ht="15.75" customHeight="1" x14ac:dyDescent="0.25">
      <c r="B347" s="14"/>
      <c r="C347" s="123"/>
      <c r="D347" s="123"/>
      <c r="E347" s="123"/>
      <c r="F347" s="54">
        <v>304</v>
      </c>
      <c r="G347" s="140">
        <f t="shared" si="30"/>
        <v>3694.3032025583493</v>
      </c>
      <c r="H347" s="140">
        <f t="shared" si="29"/>
        <v>2747.4889794088886</v>
      </c>
      <c r="I347" s="140">
        <f>K346*D332/12</f>
        <v>946.81422314946087</v>
      </c>
      <c r="J347" s="140">
        <f>IF(K346&gt;=(D333*D337),D336,0)</f>
        <v>0</v>
      </c>
      <c r="K347" s="140">
        <f t="shared" si="31"/>
        <v>179040.8418652876</v>
      </c>
      <c r="L347" s="141">
        <v>0</v>
      </c>
      <c r="M347" s="5"/>
    </row>
    <row r="348" spans="2:13" ht="15.75" customHeight="1" x14ac:dyDescent="0.25">
      <c r="B348" s="14"/>
      <c r="C348" s="123"/>
      <c r="D348" s="123"/>
      <c r="E348" s="123"/>
      <c r="F348" s="54">
        <v>305</v>
      </c>
      <c r="G348" s="140">
        <f t="shared" si="30"/>
        <v>3694.3032025583493</v>
      </c>
      <c r="H348" s="140">
        <f t="shared" si="29"/>
        <v>2761.7988178433097</v>
      </c>
      <c r="I348" s="140">
        <f>K347*D332/12</f>
        <v>932.50438471503958</v>
      </c>
      <c r="J348" s="140">
        <f>IF(K347&gt;=(D333*D337),D336,0)</f>
        <v>0</v>
      </c>
      <c r="K348" s="140">
        <f t="shared" si="31"/>
        <v>176279.04304744428</v>
      </c>
      <c r="L348" s="141">
        <v>0</v>
      </c>
      <c r="M348" s="5"/>
    </row>
    <row r="349" spans="2:13" ht="15.75" customHeight="1" x14ac:dyDescent="0.25">
      <c r="B349" s="14"/>
      <c r="C349" s="123"/>
      <c r="D349" s="123"/>
      <c r="E349" s="123"/>
      <c r="F349" s="54">
        <v>306</v>
      </c>
      <c r="G349" s="140">
        <f t="shared" si="30"/>
        <v>3694.3032025583493</v>
      </c>
      <c r="H349" s="140">
        <f t="shared" si="29"/>
        <v>2776.1831866862435</v>
      </c>
      <c r="I349" s="140">
        <f>K348*D332/12</f>
        <v>918.12001587210568</v>
      </c>
      <c r="J349" s="140">
        <f>IF(K348&gt;=(D333*D337),D336,0)</f>
        <v>0</v>
      </c>
      <c r="K349" s="140">
        <f t="shared" si="31"/>
        <v>173502.85986075804</v>
      </c>
      <c r="L349" s="141">
        <v>0</v>
      </c>
      <c r="M349" s="5"/>
    </row>
    <row r="350" spans="2:13" ht="15.75" customHeight="1" x14ac:dyDescent="0.25">
      <c r="B350" s="14"/>
      <c r="C350" s="123"/>
      <c r="D350" s="123"/>
      <c r="E350" s="123"/>
      <c r="F350" s="54">
        <v>307</v>
      </c>
      <c r="G350" s="140">
        <f t="shared" si="30"/>
        <v>3694.3032025583493</v>
      </c>
      <c r="H350" s="140">
        <f t="shared" si="29"/>
        <v>2790.6424741169012</v>
      </c>
      <c r="I350" s="140">
        <f>K349*D332/12</f>
        <v>903.6607284414481</v>
      </c>
      <c r="J350" s="140">
        <f>IF(K349&gt;=(D333*D337),D336,0)</f>
        <v>0</v>
      </c>
      <c r="K350" s="140">
        <f t="shared" si="31"/>
        <v>170712.21738664113</v>
      </c>
      <c r="L350" s="141">
        <v>0</v>
      </c>
      <c r="M350" s="5"/>
    </row>
    <row r="351" spans="2:13" ht="15.75" customHeight="1" x14ac:dyDescent="0.25">
      <c r="B351" s="14"/>
      <c r="C351" s="123"/>
      <c r="D351" s="123"/>
      <c r="E351" s="123"/>
      <c r="F351" s="54">
        <v>308</v>
      </c>
      <c r="G351" s="140">
        <f t="shared" si="30"/>
        <v>3694.3032025583493</v>
      </c>
      <c r="H351" s="140">
        <f t="shared" si="29"/>
        <v>2805.1770703362599</v>
      </c>
      <c r="I351" s="140">
        <f>K350*D332/12</f>
        <v>889.12613222208927</v>
      </c>
      <c r="J351" s="140">
        <f>IF(K350&gt;=(D333*D337),D336,0)</f>
        <v>0</v>
      </c>
      <c r="K351" s="140">
        <f t="shared" si="31"/>
        <v>167907.04031630486</v>
      </c>
      <c r="L351" s="141">
        <v>0</v>
      </c>
      <c r="M351" s="5"/>
    </row>
    <row r="352" spans="2:13" ht="15.75" customHeight="1" x14ac:dyDescent="0.25">
      <c r="B352" s="14"/>
      <c r="C352" s="123"/>
      <c r="D352" s="123"/>
      <c r="E352" s="123"/>
      <c r="F352" s="54">
        <v>309</v>
      </c>
      <c r="G352" s="140">
        <f t="shared" si="30"/>
        <v>3694.3032025583493</v>
      </c>
      <c r="H352" s="140">
        <f t="shared" si="29"/>
        <v>2819.787367577595</v>
      </c>
      <c r="I352" s="140">
        <f>K351*D332/12</f>
        <v>874.51583498075445</v>
      </c>
      <c r="J352" s="140">
        <f>IF(K351&gt;=(D333*D337),D336,0)</f>
        <v>0</v>
      </c>
      <c r="K352" s="140">
        <f t="shared" si="31"/>
        <v>165087.25294872725</v>
      </c>
      <c r="L352" s="141">
        <v>0</v>
      </c>
      <c r="M352" s="5"/>
    </row>
    <row r="353" spans="2:13" ht="15.75" customHeight="1" x14ac:dyDescent="0.25">
      <c r="B353" s="14"/>
      <c r="C353" s="123"/>
      <c r="D353" s="123"/>
      <c r="E353" s="123"/>
      <c r="F353" s="54">
        <v>310</v>
      </c>
      <c r="G353" s="140">
        <f t="shared" si="30"/>
        <v>3694.3032025583493</v>
      </c>
      <c r="H353" s="140">
        <f t="shared" si="29"/>
        <v>2834.4737601170614</v>
      </c>
      <c r="I353" s="140">
        <f>K352*D332/12</f>
        <v>859.82944244128782</v>
      </c>
      <c r="J353" s="140">
        <f>IF(K352&gt;=(D333*D337),D336,0)</f>
        <v>0</v>
      </c>
      <c r="K353" s="140">
        <f t="shared" si="31"/>
        <v>162252.77918861021</v>
      </c>
      <c r="L353" s="141">
        <v>0</v>
      </c>
      <c r="M353" s="5"/>
    </row>
    <row r="354" spans="2:13" ht="15.75" customHeight="1" x14ac:dyDescent="0.25">
      <c r="B354" s="14"/>
      <c r="C354" s="123"/>
      <c r="D354" s="123"/>
      <c r="E354" s="123"/>
      <c r="F354" s="54">
        <v>311</v>
      </c>
      <c r="G354" s="140">
        <f t="shared" si="30"/>
        <v>3694.3032025583493</v>
      </c>
      <c r="H354" s="140">
        <f t="shared" si="29"/>
        <v>2849.2366442843377</v>
      </c>
      <c r="I354" s="140">
        <f>K353*D332/12</f>
        <v>845.06655827401153</v>
      </c>
      <c r="J354" s="140">
        <f>IF(K353&gt;=(D333*D337),D336,0)</f>
        <v>0</v>
      </c>
      <c r="K354" s="140">
        <f t="shared" si="31"/>
        <v>159403.54254432587</v>
      </c>
      <c r="L354" s="141">
        <v>0</v>
      </c>
      <c r="M354" s="5"/>
    </row>
    <row r="355" spans="2:13" ht="15.75" customHeight="1" x14ac:dyDescent="0.25">
      <c r="B355" s="14"/>
      <c r="C355" s="123"/>
      <c r="D355" s="123"/>
      <c r="E355" s="123"/>
      <c r="F355" s="151">
        <v>312</v>
      </c>
      <c r="G355" s="140">
        <f t="shared" si="30"/>
        <v>3694.3032025583493</v>
      </c>
      <c r="H355" s="140">
        <f t="shared" si="29"/>
        <v>2864.0764184733189</v>
      </c>
      <c r="I355" s="140">
        <f>K354*D332/12</f>
        <v>830.22678408503054</v>
      </c>
      <c r="J355" s="140">
        <f>IF(K354&gt;=(D333*D337),D336,0)</f>
        <v>0</v>
      </c>
      <c r="K355" s="140">
        <f t="shared" si="31"/>
        <v>156539.46612585254</v>
      </c>
      <c r="L355" s="141">
        <v>0</v>
      </c>
      <c r="M355" s="5"/>
    </row>
    <row r="356" spans="2:13" ht="15.75" customHeight="1" x14ac:dyDescent="0.25">
      <c r="B356" s="14"/>
      <c r="C356" s="123"/>
      <c r="D356" s="123"/>
      <c r="E356" s="123"/>
      <c r="F356" s="54">
        <v>313</v>
      </c>
      <c r="G356" s="140">
        <f t="shared" si="30"/>
        <v>3694.3032025583493</v>
      </c>
      <c r="H356" s="140">
        <f t="shared" si="29"/>
        <v>2878.9934831528672</v>
      </c>
      <c r="I356" s="140">
        <f>K355*D332/12</f>
        <v>815.30971940548204</v>
      </c>
      <c r="J356" s="140">
        <f>IF(K355&gt;=(D333*D337),D336,0)</f>
        <v>0</v>
      </c>
      <c r="K356" s="140">
        <f t="shared" si="31"/>
        <v>153660.47264269966</v>
      </c>
      <c r="L356" s="141">
        <v>0</v>
      </c>
      <c r="M356" s="5"/>
    </row>
    <row r="357" spans="2:13" ht="15.75" customHeight="1" x14ac:dyDescent="0.25">
      <c r="B357" s="14"/>
      <c r="C357" s="123"/>
      <c r="D357" s="123"/>
      <c r="E357" s="123"/>
      <c r="F357" s="162">
        <v>314</v>
      </c>
      <c r="G357" s="140">
        <f t="shared" si="30"/>
        <v>3694.3032025583493</v>
      </c>
      <c r="H357" s="140">
        <f t="shared" si="29"/>
        <v>2893.988240877622</v>
      </c>
      <c r="I357" s="140">
        <f>K356*D332/12</f>
        <v>800.31496168072738</v>
      </c>
      <c r="J357" s="140">
        <f>IF(K356&gt;=(D333*D337),D336,0)</f>
        <v>0</v>
      </c>
      <c r="K357" s="140">
        <f t="shared" si="31"/>
        <v>150766.48440182203</v>
      </c>
      <c r="L357" s="141">
        <v>0</v>
      </c>
      <c r="M357" s="5"/>
    </row>
    <row r="358" spans="2:13" ht="15.75" customHeight="1" x14ac:dyDescent="0.25">
      <c r="B358" s="14"/>
      <c r="C358" s="123"/>
      <c r="D358" s="123"/>
      <c r="E358" s="123"/>
      <c r="F358" s="54">
        <v>315</v>
      </c>
      <c r="G358" s="140">
        <f t="shared" si="30"/>
        <v>3694.3032025583493</v>
      </c>
      <c r="H358" s="140">
        <f t="shared" si="29"/>
        <v>2909.0610962988594</v>
      </c>
      <c r="I358" s="140">
        <f>K357*D332/12</f>
        <v>785.24210625948979</v>
      </c>
      <c r="J358" s="140">
        <f>IF(K357&gt;=(D333*D337),D336,0)</f>
        <v>0</v>
      </c>
      <c r="K358" s="140">
        <f t="shared" si="31"/>
        <v>147857.42330552317</v>
      </c>
      <c r="L358" s="141">
        <v>0</v>
      </c>
      <c r="M358" s="5"/>
    </row>
    <row r="359" spans="2:13" ht="15.75" customHeight="1" x14ac:dyDescent="0.25">
      <c r="B359" s="14"/>
      <c r="C359" s="123"/>
      <c r="D359" s="123"/>
      <c r="E359" s="123"/>
      <c r="F359" s="54">
        <v>316</v>
      </c>
      <c r="G359" s="140">
        <f t="shared" si="30"/>
        <v>3694.3032025583493</v>
      </c>
      <c r="H359" s="140">
        <f t="shared" si="29"/>
        <v>2924.2124561754163</v>
      </c>
      <c r="I359" s="140">
        <f>K358*D332/12</f>
        <v>770.09074638293316</v>
      </c>
      <c r="J359" s="140">
        <f>IF(K358&gt;=(D333*D337),D336,0)</f>
        <v>0</v>
      </c>
      <c r="K359" s="140">
        <f t="shared" si="31"/>
        <v>144933.21084934776</v>
      </c>
      <c r="L359" s="141">
        <v>0</v>
      </c>
      <c r="M359" s="5"/>
    </row>
    <row r="360" spans="2:13" ht="15.75" customHeight="1" x14ac:dyDescent="0.25">
      <c r="B360" s="14"/>
      <c r="C360" s="123"/>
      <c r="D360" s="123"/>
      <c r="E360" s="123"/>
      <c r="F360" s="54">
        <v>317</v>
      </c>
      <c r="G360" s="140">
        <f t="shared" si="30"/>
        <v>3694.3032025583493</v>
      </c>
      <c r="H360" s="140">
        <f t="shared" si="29"/>
        <v>2939.4427293846629</v>
      </c>
      <c r="I360" s="140">
        <f>K359*D332/12</f>
        <v>754.86047317368627</v>
      </c>
      <c r="J360" s="140">
        <f>IF(K359&gt;=(D333*D337),D336,0)</f>
        <v>0</v>
      </c>
      <c r="K360" s="140">
        <f t="shared" si="31"/>
        <v>141993.76811996309</v>
      </c>
      <c r="L360" s="141">
        <v>0</v>
      </c>
      <c r="M360" s="5"/>
    </row>
    <row r="361" spans="2:13" ht="15.75" customHeight="1" x14ac:dyDescent="0.25">
      <c r="B361" s="14"/>
      <c r="C361" s="123"/>
      <c r="D361" s="123"/>
      <c r="E361" s="123"/>
      <c r="F361" s="54">
        <v>318</v>
      </c>
      <c r="G361" s="140">
        <f t="shared" si="30"/>
        <v>3694.3032025583493</v>
      </c>
      <c r="H361" s="140">
        <f t="shared" si="29"/>
        <v>2954.7523269335416</v>
      </c>
      <c r="I361" s="140">
        <f>K360*D332/12</f>
        <v>739.55087562480776</v>
      </c>
      <c r="J361" s="140">
        <f>IF(K360&gt;=(D333*D337),D336,0)</f>
        <v>0</v>
      </c>
      <c r="K361" s="140">
        <f t="shared" si="31"/>
        <v>139039.01579302954</v>
      </c>
      <c r="L361" s="141">
        <v>0</v>
      </c>
      <c r="M361" s="5"/>
    </row>
    <row r="362" spans="2:13" ht="15.75" customHeight="1" x14ac:dyDescent="0.25">
      <c r="B362" s="14"/>
      <c r="C362" s="123"/>
      <c r="D362" s="123"/>
      <c r="E362" s="123"/>
      <c r="F362" s="54">
        <v>319</v>
      </c>
      <c r="G362" s="140">
        <f t="shared" si="30"/>
        <v>3694.3032025583493</v>
      </c>
      <c r="H362" s="140">
        <f t="shared" si="29"/>
        <v>2970.1416619696538</v>
      </c>
      <c r="I362" s="140">
        <f>K361*D332/12</f>
        <v>724.16154058869552</v>
      </c>
      <c r="J362" s="140">
        <f>IF(K361&gt;=(D333*D337),D336,0)</f>
        <v>0</v>
      </c>
      <c r="K362" s="140">
        <f t="shared" si="31"/>
        <v>136068.87413105989</v>
      </c>
      <c r="L362" s="141">
        <v>0</v>
      </c>
      <c r="M362" s="5"/>
    </row>
    <row r="363" spans="2:13" ht="15.75" customHeight="1" x14ac:dyDescent="0.25">
      <c r="B363" s="14"/>
      <c r="C363" s="123"/>
      <c r="D363" s="123"/>
      <c r="E363" s="123"/>
      <c r="F363" s="54">
        <v>320</v>
      </c>
      <c r="G363" s="140">
        <f t="shared" si="30"/>
        <v>3694.3032025583493</v>
      </c>
      <c r="H363" s="140">
        <f t="shared" si="29"/>
        <v>2985.6111497924126</v>
      </c>
      <c r="I363" s="140">
        <f>K362*D332/12</f>
        <v>708.69205276593686</v>
      </c>
      <c r="J363" s="140">
        <f>IF(K362&gt;=(D333*D337),D336,0)</f>
        <v>0</v>
      </c>
      <c r="K363" s="140">
        <f t="shared" si="31"/>
        <v>133083.26298126747</v>
      </c>
      <c r="L363" s="141">
        <v>0</v>
      </c>
      <c r="M363" s="5"/>
    </row>
    <row r="364" spans="2:13" ht="15.75" customHeight="1" x14ac:dyDescent="0.25">
      <c r="B364" s="14"/>
      <c r="C364" s="123"/>
      <c r="D364" s="123"/>
      <c r="E364" s="123"/>
      <c r="F364" s="54">
        <v>321</v>
      </c>
      <c r="G364" s="140">
        <f t="shared" si="30"/>
        <v>3694.3032025583493</v>
      </c>
      <c r="H364" s="140">
        <f t="shared" si="29"/>
        <v>3001.1612078642479</v>
      </c>
      <c r="I364" s="140">
        <f>K363*D332/12</f>
        <v>693.14199469410141</v>
      </c>
      <c r="J364" s="140">
        <f>IF(K363&gt;=(D333*D337),D336,0)</f>
        <v>0</v>
      </c>
      <c r="K364" s="140">
        <f t="shared" si="31"/>
        <v>130082.10177340322</v>
      </c>
      <c r="L364" s="141">
        <v>0</v>
      </c>
      <c r="M364" s="5"/>
    </row>
    <row r="365" spans="2:13" ht="15.75" customHeight="1" x14ac:dyDescent="0.25">
      <c r="B365" s="14"/>
      <c r="C365" s="123"/>
      <c r="D365" s="123"/>
      <c r="E365" s="123"/>
      <c r="F365" s="54">
        <v>322</v>
      </c>
      <c r="G365" s="140">
        <f t="shared" si="30"/>
        <v>3694.3032025583493</v>
      </c>
      <c r="H365" s="140">
        <f t="shared" si="29"/>
        <v>3016.7922558218743</v>
      </c>
      <c r="I365" s="140">
        <f>K364*D332/12</f>
        <v>677.51094673647515</v>
      </c>
      <c r="J365" s="140">
        <f>IF(K364&gt;=(D333*D337),D336,0)</f>
        <v>0</v>
      </c>
      <c r="K365" s="140">
        <f t="shared" si="31"/>
        <v>127065.30951758135</v>
      </c>
      <c r="L365" s="141">
        <v>0</v>
      </c>
      <c r="M365" s="5"/>
    </row>
    <row r="366" spans="2:13" ht="15.75" customHeight="1" x14ac:dyDescent="0.25">
      <c r="B366" s="14"/>
      <c r="C366" s="123"/>
      <c r="D366" s="123"/>
      <c r="E366" s="123"/>
      <c r="F366" s="54">
        <v>323</v>
      </c>
      <c r="G366" s="140">
        <f t="shared" si="30"/>
        <v>3694.3032025583493</v>
      </c>
      <c r="H366" s="140">
        <f t="shared" si="29"/>
        <v>3032.5047154876129</v>
      </c>
      <c r="I366" s="140">
        <f>K365*D332/12</f>
        <v>661.7984870707362</v>
      </c>
      <c r="J366" s="140">
        <f>IF(K365&gt;=(D333*D337),D336,0)</f>
        <v>0</v>
      </c>
      <c r="K366" s="140">
        <f t="shared" si="31"/>
        <v>124032.80480209374</v>
      </c>
      <c r="L366" s="141">
        <v>0</v>
      </c>
      <c r="M366" s="5"/>
    </row>
    <row r="367" spans="2:13" ht="15.75" customHeight="1" x14ac:dyDescent="0.25">
      <c r="B367" s="14"/>
      <c r="C367" s="123"/>
      <c r="D367" s="123"/>
      <c r="E367" s="123"/>
      <c r="F367" s="151">
        <v>324</v>
      </c>
      <c r="G367" s="140">
        <f t="shared" si="30"/>
        <v>3694.3032025583493</v>
      </c>
      <c r="H367" s="140">
        <f t="shared" si="29"/>
        <v>3048.2990108807776</v>
      </c>
      <c r="I367" s="140">
        <f>K366*D332/12</f>
        <v>646.00419167757161</v>
      </c>
      <c r="J367" s="140">
        <f>IF(K366&gt;=(D333*D337),D336,0)</f>
        <v>0</v>
      </c>
      <c r="K367" s="140">
        <f t="shared" si="31"/>
        <v>120984.50579121297</v>
      </c>
      <c r="L367" s="141">
        <v>0</v>
      </c>
      <c r="M367" s="5"/>
    </row>
    <row r="368" spans="2:13" ht="15.75" customHeight="1" x14ac:dyDescent="0.25">
      <c r="B368" s="14"/>
      <c r="C368" s="137" t="s">
        <v>114</v>
      </c>
      <c r="D368" s="138">
        <f t="shared" ref="D368:D373" si="32">D332</f>
        <v>6.25E-2</v>
      </c>
      <c r="E368" s="139"/>
      <c r="F368" s="54">
        <v>325</v>
      </c>
      <c r="G368" s="140">
        <f t="shared" si="30"/>
        <v>3694.3032025583493</v>
      </c>
      <c r="H368" s="140">
        <f t="shared" si="29"/>
        <v>3064.175568229115</v>
      </c>
      <c r="I368" s="140">
        <f>K367*D368/12</f>
        <v>630.12763432923418</v>
      </c>
      <c r="J368" s="140">
        <f>IF(K367&gt;=(D369*D373),D372,0)</f>
        <v>0</v>
      </c>
      <c r="K368" s="140">
        <f t="shared" si="31"/>
        <v>117920.33022298386</v>
      </c>
      <c r="L368" s="141">
        <v>0</v>
      </c>
      <c r="M368" s="5"/>
    </row>
    <row r="369" spans="1:26" ht="15.75" customHeight="1" x14ac:dyDescent="0.25">
      <c r="B369" s="14"/>
      <c r="C369" s="142" t="s">
        <v>3</v>
      </c>
      <c r="D369" s="143">
        <f t="shared" si="32"/>
        <v>750000</v>
      </c>
      <c r="E369" s="144"/>
      <c r="F369" s="162">
        <v>326</v>
      </c>
      <c r="G369" s="140">
        <f t="shared" si="30"/>
        <v>3694.3032025583493</v>
      </c>
      <c r="H369" s="140">
        <f t="shared" si="29"/>
        <v>3080.1348159803083</v>
      </c>
      <c r="I369" s="140">
        <f>K368*D368/12</f>
        <v>614.1683865780409</v>
      </c>
      <c r="J369" s="140">
        <f>IF(K368&gt;=(D369*D373),D372,0)</f>
        <v>0</v>
      </c>
      <c r="K369" s="140">
        <f t="shared" si="31"/>
        <v>114840.19540700356</v>
      </c>
      <c r="L369" s="141">
        <v>0</v>
      </c>
      <c r="M369" s="5"/>
    </row>
    <row r="370" spans="1:26" ht="15.75" customHeight="1" x14ac:dyDescent="0.25">
      <c r="B370" s="14"/>
      <c r="C370" s="142" t="s">
        <v>111</v>
      </c>
      <c r="D370" s="143">
        <f t="shared" si="32"/>
        <v>600000</v>
      </c>
      <c r="E370" s="144"/>
      <c r="F370" s="54">
        <v>327</v>
      </c>
      <c r="G370" s="140">
        <f t="shared" si="30"/>
        <v>3694.3032025583493</v>
      </c>
      <c r="H370" s="140">
        <f t="shared" si="29"/>
        <v>3096.177184813539</v>
      </c>
      <c r="I370" s="140">
        <f>K369*D368/12</f>
        <v>598.12601774481016</v>
      </c>
      <c r="J370" s="140">
        <f>IF(K369&gt;=(D369*D373),D372,0)</f>
        <v>0</v>
      </c>
      <c r="K370" s="140">
        <f t="shared" si="31"/>
        <v>111744.01822219002</v>
      </c>
      <c r="L370" s="141">
        <v>0</v>
      </c>
      <c r="M370" s="5"/>
    </row>
    <row r="371" spans="1:26" ht="15.75" customHeight="1" x14ac:dyDescent="0.25">
      <c r="B371" s="14"/>
      <c r="C371" s="142" t="s">
        <v>112</v>
      </c>
      <c r="D371" s="145">
        <f t="shared" si="32"/>
        <v>360</v>
      </c>
      <c r="E371" s="123"/>
      <c r="F371" s="54">
        <v>328</v>
      </c>
      <c r="G371" s="140">
        <f t="shared" si="30"/>
        <v>3694.3032025583493</v>
      </c>
      <c r="H371" s="140">
        <f t="shared" si="29"/>
        <v>3112.3031076511097</v>
      </c>
      <c r="I371" s="140">
        <f>K370*D368/12</f>
        <v>582.00009490723971</v>
      </c>
      <c r="J371" s="140">
        <f>IF(K370&gt;=(D369*D373),D372,0)</f>
        <v>0</v>
      </c>
      <c r="K371" s="140">
        <f t="shared" si="31"/>
        <v>108631.71511453891</v>
      </c>
      <c r="L371" s="141">
        <v>0</v>
      </c>
      <c r="M371" s="5"/>
    </row>
    <row r="372" spans="1:26" ht="15.75" customHeight="1" x14ac:dyDescent="0.25">
      <c r="B372" s="14"/>
      <c r="C372" s="142" t="s">
        <v>32</v>
      </c>
      <c r="D372" s="146" t="str">
        <f t="shared" si="32"/>
        <v/>
      </c>
      <c r="E372" s="147"/>
      <c r="F372" s="54">
        <v>329</v>
      </c>
      <c r="G372" s="140">
        <f t="shared" si="30"/>
        <v>3694.3032025583493</v>
      </c>
      <c r="H372" s="140">
        <f t="shared" si="29"/>
        <v>3128.5130196701257</v>
      </c>
      <c r="I372" s="140">
        <f>K371*D368/12</f>
        <v>565.79018288822351</v>
      </c>
      <c r="J372" s="140">
        <f>IF(K371&gt;=(D369*D373),D372,0)</f>
        <v>0</v>
      </c>
      <c r="K372" s="140">
        <f t="shared" si="31"/>
        <v>105503.20209486879</v>
      </c>
      <c r="L372" s="141">
        <v>0</v>
      </c>
      <c r="M372" s="5"/>
    </row>
    <row r="373" spans="1:26" ht="15.75" customHeight="1" x14ac:dyDescent="0.25">
      <c r="B373" s="14"/>
      <c r="C373" s="148" t="s">
        <v>113</v>
      </c>
      <c r="D373" s="149">
        <f t="shared" si="32"/>
        <v>0.8</v>
      </c>
      <c r="E373" s="150"/>
      <c r="F373" s="41">
        <v>330</v>
      </c>
      <c r="G373" s="153">
        <f t="shared" si="30"/>
        <v>3694.3032025583493</v>
      </c>
      <c r="H373" s="153">
        <f t="shared" si="29"/>
        <v>3144.8073583142409</v>
      </c>
      <c r="I373" s="153">
        <f>K372*D368/12</f>
        <v>549.4958442441083</v>
      </c>
      <c r="J373" s="153">
        <f>IF(K372&gt;=(D369*D373),D372,0)</f>
        <v>0</v>
      </c>
      <c r="K373" s="153">
        <f t="shared" si="31"/>
        <v>102358.39473655455</v>
      </c>
      <c r="L373" s="154">
        <v>0</v>
      </c>
      <c r="M373" s="5"/>
    </row>
    <row r="374" spans="1:26" ht="15.75" customHeight="1" x14ac:dyDescent="0.25">
      <c r="B374" s="62"/>
      <c r="C374" s="155"/>
      <c r="D374" s="165"/>
      <c r="E374" s="165"/>
      <c r="F374" s="166"/>
      <c r="G374" s="157"/>
      <c r="H374" s="157"/>
      <c r="I374" s="157"/>
      <c r="J374" s="157"/>
      <c r="K374" s="157"/>
      <c r="L374" s="158"/>
      <c r="M374" s="64"/>
    </row>
    <row r="375" spans="1:26" ht="11.25" customHeight="1" x14ac:dyDescent="0.25">
      <c r="C375" s="120"/>
      <c r="D375" s="120"/>
      <c r="E375" s="120"/>
      <c r="F375" s="159"/>
      <c r="G375" s="140"/>
      <c r="H375" s="140"/>
      <c r="I375" s="140"/>
      <c r="J375" s="140"/>
      <c r="K375" s="140"/>
      <c r="L375" s="56"/>
    </row>
    <row r="376" spans="1:26" ht="11.25" customHeight="1" x14ac:dyDescent="0.25">
      <c r="B376" s="1"/>
      <c r="C376" s="160"/>
      <c r="D376" s="121"/>
      <c r="E376" s="121"/>
      <c r="F376" s="121"/>
      <c r="G376" s="121"/>
      <c r="H376" s="121"/>
      <c r="I376" s="121"/>
      <c r="J376" s="121"/>
      <c r="K376" s="121"/>
      <c r="L376" s="161"/>
      <c r="M376" s="3"/>
    </row>
    <row r="377" spans="1:26" ht="22.5" customHeight="1" x14ac:dyDescent="0.25">
      <c r="A377" s="129"/>
      <c r="B377" s="130"/>
      <c r="C377" s="131"/>
      <c r="D377" s="131"/>
      <c r="E377" s="131"/>
      <c r="F377" s="132" t="s">
        <v>103</v>
      </c>
      <c r="G377" s="133" t="s">
        <v>104</v>
      </c>
      <c r="H377" s="133" t="s">
        <v>105</v>
      </c>
      <c r="I377" s="133" t="s">
        <v>106</v>
      </c>
      <c r="J377" s="133" t="s">
        <v>107</v>
      </c>
      <c r="K377" s="133" t="s">
        <v>108</v>
      </c>
      <c r="L377" s="134" t="s">
        <v>109</v>
      </c>
      <c r="M377" s="135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spans="1:26" ht="11.25" customHeight="1" x14ac:dyDescent="0.25">
      <c r="B378" s="14"/>
      <c r="C378" s="123"/>
      <c r="D378" s="123"/>
      <c r="E378" s="123"/>
      <c r="F378" s="82"/>
      <c r="L378" s="57"/>
      <c r="M378" s="5"/>
    </row>
    <row r="379" spans="1:26" ht="15.75" customHeight="1" x14ac:dyDescent="0.25">
      <c r="B379" s="14"/>
      <c r="C379" s="123"/>
      <c r="D379" s="123"/>
      <c r="E379" s="123"/>
      <c r="F379" s="54">
        <v>331</v>
      </c>
      <c r="G379" s="140">
        <f>IF(K373=0,0,G373)</f>
        <v>3694.3032025583493</v>
      </c>
      <c r="H379" s="140">
        <f t="shared" ref="H379:H408" si="33">G379-I379</f>
        <v>3161.1865633054613</v>
      </c>
      <c r="I379" s="140">
        <f>K373*D368/12</f>
        <v>533.11663925288826</v>
      </c>
      <c r="J379" s="140">
        <f>IF(K373&gt;=(D369*D373),D372,0)</f>
        <v>0</v>
      </c>
      <c r="K379" s="140">
        <f>IF(K373-H379-L379&gt;0,K373-H379-L379,)</f>
        <v>99197.208173249091</v>
      </c>
      <c r="L379" s="141">
        <v>0</v>
      </c>
      <c r="M379" s="5"/>
    </row>
    <row r="380" spans="1:26" ht="15.75" customHeight="1" x14ac:dyDescent="0.25">
      <c r="B380" s="14"/>
      <c r="C380" s="123"/>
      <c r="D380" s="123"/>
      <c r="E380" s="123"/>
      <c r="F380" s="54">
        <v>332</v>
      </c>
      <c r="G380" s="140">
        <f t="shared" ref="G380:G408" si="34">IF(K379=0,0,G379)</f>
        <v>3694.3032025583493</v>
      </c>
      <c r="H380" s="140">
        <f t="shared" si="33"/>
        <v>3177.6510766560104</v>
      </c>
      <c r="I380" s="140">
        <f>K379*D368/12</f>
        <v>516.65212590233898</v>
      </c>
      <c r="J380" s="140">
        <f>IF(K379&gt;=(D369*D373),D372,0)</f>
        <v>0</v>
      </c>
      <c r="K380" s="140">
        <f t="shared" ref="K380:K408" si="35">IF(K379-H380-L380&gt;0,K379-H380-L380,)</f>
        <v>96019.557096593082</v>
      </c>
      <c r="L380" s="141">
        <v>0</v>
      </c>
      <c r="M380" s="5"/>
    </row>
    <row r="381" spans="1:26" ht="15.75" customHeight="1" x14ac:dyDescent="0.25">
      <c r="B381" s="14"/>
      <c r="C381" s="123"/>
      <c r="D381" s="123"/>
      <c r="E381" s="123"/>
      <c r="F381" s="54">
        <v>333</v>
      </c>
      <c r="G381" s="140">
        <f t="shared" si="34"/>
        <v>3694.3032025583493</v>
      </c>
      <c r="H381" s="140">
        <f t="shared" si="33"/>
        <v>3194.2013426802605</v>
      </c>
      <c r="I381" s="140">
        <f>K380*D368/12</f>
        <v>500.10185987808899</v>
      </c>
      <c r="J381" s="140">
        <f>IF(K380&gt;=(D369*D373),D372,0)</f>
        <v>0</v>
      </c>
      <c r="K381" s="140">
        <f t="shared" si="35"/>
        <v>92825.355753912823</v>
      </c>
      <c r="L381" s="141">
        <v>0</v>
      </c>
      <c r="M381" s="5"/>
    </row>
    <row r="382" spans="1:26" ht="15.75" customHeight="1" x14ac:dyDescent="0.25">
      <c r="B382" s="14"/>
      <c r="C382" s="147"/>
      <c r="D382" s="123"/>
      <c r="E382" s="123"/>
      <c r="F382" s="54">
        <v>334</v>
      </c>
      <c r="G382" s="140">
        <f t="shared" si="34"/>
        <v>3694.3032025583493</v>
      </c>
      <c r="H382" s="140">
        <f t="shared" si="33"/>
        <v>3210.83780800672</v>
      </c>
      <c r="I382" s="140">
        <f>K381*D368/12</f>
        <v>483.46539455162929</v>
      </c>
      <c r="J382" s="140">
        <f>IF(K381&gt;=(D369*D373),D372,0)</f>
        <v>0</v>
      </c>
      <c r="K382" s="140">
        <f t="shared" si="35"/>
        <v>89614.517945906104</v>
      </c>
      <c r="L382" s="141">
        <v>0</v>
      </c>
      <c r="M382" s="5"/>
    </row>
    <row r="383" spans="1:26" ht="15.75" customHeight="1" x14ac:dyDescent="0.25">
      <c r="B383" s="14"/>
      <c r="C383" s="123"/>
      <c r="D383" s="123"/>
      <c r="E383" s="123"/>
      <c r="F383" s="54">
        <v>335</v>
      </c>
      <c r="G383" s="140">
        <f t="shared" si="34"/>
        <v>3694.3032025583493</v>
      </c>
      <c r="H383" s="140">
        <f t="shared" si="33"/>
        <v>3227.5609215900886</v>
      </c>
      <c r="I383" s="140">
        <f>K382*D368/12</f>
        <v>466.74228096826096</v>
      </c>
      <c r="J383" s="140">
        <f>IF(K382&gt;=(D369*D373),D372,0)</f>
        <v>0</v>
      </c>
      <c r="K383" s="140">
        <f t="shared" si="35"/>
        <v>86386.957024316012</v>
      </c>
      <c r="L383" s="141">
        <v>0</v>
      </c>
      <c r="M383" s="5"/>
    </row>
    <row r="384" spans="1:26" ht="15.75" customHeight="1" x14ac:dyDescent="0.25">
      <c r="B384" s="14"/>
      <c r="C384" s="123"/>
      <c r="D384" s="123"/>
      <c r="E384" s="123"/>
      <c r="F384" s="151">
        <v>336</v>
      </c>
      <c r="G384" s="140">
        <f t="shared" si="34"/>
        <v>3694.3032025583493</v>
      </c>
      <c r="H384" s="140">
        <f t="shared" si="33"/>
        <v>3244.3711347233702</v>
      </c>
      <c r="I384" s="140">
        <f>K383*D368/12</f>
        <v>449.93206783497925</v>
      </c>
      <c r="J384" s="140">
        <f>IF(K383&gt;=(D369*D373),D372,0)</f>
        <v>0</v>
      </c>
      <c r="K384" s="140">
        <f t="shared" si="35"/>
        <v>83142.585889592636</v>
      </c>
      <c r="L384" s="141">
        <v>0</v>
      </c>
      <c r="M384" s="5"/>
    </row>
    <row r="385" spans="2:13" ht="15.75" customHeight="1" x14ac:dyDescent="0.25">
      <c r="B385" s="14"/>
      <c r="C385" s="123"/>
      <c r="D385" s="123"/>
      <c r="E385" s="123"/>
      <c r="F385" s="54">
        <v>337</v>
      </c>
      <c r="G385" s="140">
        <f t="shared" si="34"/>
        <v>3694.3032025583493</v>
      </c>
      <c r="H385" s="140">
        <f t="shared" si="33"/>
        <v>3261.2689010500544</v>
      </c>
      <c r="I385" s="140">
        <f>K384*D368/12</f>
        <v>433.03430150829496</v>
      </c>
      <c r="J385" s="140">
        <f>IF(K384&gt;=(D369*D373),D372,0)</f>
        <v>0</v>
      </c>
      <c r="K385" s="140">
        <f t="shared" si="35"/>
        <v>79881.316988542589</v>
      </c>
      <c r="L385" s="141">
        <v>0</v>
      </c>
      <c r="M385" s="5"/>
    </row>
    <row r="386" spans="2:13" ht="15.75" customHeight="1" x14ac:dyDescent="0.25">
      <c r="B386" s="14"/>
      <c r="C386" s="123"/>
      <c r="D386" s="123"/>
      <c r="E386" s="123"/>
      <c r="F386" s="162">
        <v>338</v>
      </c>
      <c r="G386" s="140">
        <f t="shared" si="34"/>
        <v>3694.3032025583493</v>
      </c>
      <c r="H386" s="140">
        <f t="shared" si="33"/>
        <v>3278.2546765763568</v>
      </c>
      <c r="I386" s="140">
        <f>K385*D368/12</f>
        <v>416.04852598199267</v>
      </c>
      <c r="J386" s="140">
        <f>IF(K385&gt;=(D369*D373),D372,0)</f>
        <v>0</v>
      </c>
      <c r="K386" s="140">
        <f t="shared" si="35"/>
        <v>76603.062311966234</v>
      </c>
      <c r="L386" s="141">
        <v>0</v>
      </c>
      <c r="M386" s="5"/>
    </row>
    <row r="387" spans="2:13" ht="15.75" customHeight="1" x14ac:dyDescent="0.25">
      <c r="B387" s="14"/>
      <c r="C387" s="123"/>
      <c r="D387" s="123"/>
      <c r="E387" s="123"/>
      <c r="F387" s="54">
        <v>339</v>
      </c>
      <c r="G387" s="140">
        <f t="shared" si="34"/>
        <v>3694.3032025583493</v>
      </c>
      <c r="H387" s="140">
        <f t="shared" si="33"/>
        <v>3295.3289196835253</v>
      </c>
      <c r="I387" s="140">
        <f>K386*D368/12</f>
        <v>398.97428287482415</v>
      </c>
      <c r="J387" s="140">
        <f>IF(K386&gt;=(D369*D373),D372,0)</f>
        <v>0</v>
      </c>
      <c r="K387" s="140">
        <f t="shared" si="35"/>
        <v>73307.733392282709</v>
      </c>
      <c r="L387" s="141">
        <v>0</v>
      </c>
      <c r="M387" s="5"/>
    </row>
    <row r="388" spans="2:13" ht="15.75" customHeight="1" x14ac:dyDescent="0.25">
      <c r="B388" s="14"/>
      <c r="C388" s="123"/>
      <c r="D388" s="123"/>
      <c r="E388" s="123"/>
      <c r="F388" s="54">
        <v>340</v>
      </c>
      <c r="G388" s="140">
        <f t="shared" si="34"/>
        <v>3694.3032025583493</v>
      </c>
      <c r="H388" s="140">
        <f t="shared" si="33"/>
        <v>3312.4920911402101</v>
      </c>
      <c r="I388" s="140">
        <f>K387*D368/12</f>
        <v>381.81111141813909</v>
      </c>
      <c r="J388" s="140">
        <f>IF(K387&gt;=(D369*D373),D372,0)</f>
        <v>0</v>
      </c>
      <c r="K388" s="140">
        <f t="shared" si="35"/>
        <v>69995.241301142494</v>
      </c>
      <c r="L388" s="141">
        <v>0</v>
      </c>
      <c r="M388" s="5"/>
    </row>
    <row r="389" spans="2:13" ht="15.75" customHeight="1" x14ac:dyDescent="0.25">
      <c r="B389" s="14"/>
      <c r="C389" s="123"/>
      <c r="D389" s="123"/>
      <c r="E389" s="123"/>
      <c r="F389" s="54">
        <v>341</v>
      </c>
      <c r="G389" s="140">
        <f t="shared" si="34"/>
        <v>3694.3032025583493</v>
      </c>
      <c r="H389" s="140">
        <f t="shared" si="33"/>
        <v>3329.7446541148988</v>
      </c>
      <c r="I389" s="140">
        <f>K388*D368/12</f>
        <v>364.55854844345049</v>
      </c>
      <c r="J389" s="140">
        <f>IF(K388&gt;=(D369*D373),D372,0)</f>
        <v>0</v>
      </c>
      <c r="K389" s="140">
        <f t="shared" si="35"/>
        <v>66665.496647027598</v>
      </c>
      <c r="L389" s="141">
        <v>0</v>
      </c>
      <c r="M389" s="5"/>
    </row>
    <row r="390" spans="2:13" ht="15.75" customHeight="1" x14ac:dyDescent="0.25">
      <c r="B390" s="14"/>
      <c r="C390" s="123"/>
      <c r="D390" s="123"/>
      <c r="E390" s="123"/>
      <c r="F390" s="54">
        <v>342</v>
      </c>
      <c r="G390" s="140">
        <f t="shared" si="34"/>
        <v>3694.3032025583493</v>
      </c>
      <c r="H390" s="140">
        <f t="shared" si="33"/>
        <v>3347.0870741884137</v>
      </c>
      <c r="I390" s="140">
        <f>K389*D368/12</f>
        <v>347.2161283699354</v>
      </c>
      <c r="J390" s="140">
        <f>IF(K389&gt;=(D369*D373),D372,0)</f>
        <v>0</v>
      </c>
      <c r="K390" s="140">
        <f t="shared" si="35"/>
        <v>63318.409572839184</v>
      </c>
      <c r="L390" s="141">
        <v>0</v>
      </c>
      <c r="M390" s="5"/>
    </row>
    <row r="391" spans="2:13" ht="15.75" customHeight="1" x14ac:dyDescent="0.25">
      <c r="B391" s="14"/>
      <c r="C391" s="123"/>
      <c r="D391" s="123"/>
      <c r="E391" s="123"/>
      <c r="F391" s="54">
        <v>343</v>
      </c>
      <c r="G391" s="140">
        <f t="shared" si="34"/>
        <v>3694.3032025583493</v>
      </c>
      <c r="H391" s="140">
        <f t="shared" si="33"/>
        <v>3364.5198193664787</v>
      </c>
      <c r="I391" s="140">
        <f>K390*D368/12</f>
        <v>329.78338319187077</v>
      </c>
      <c r="J391" s="140">
        <f>IF(K390&gt;=(D369*D373),D372,0)</f>
        <v>0</v>
      </c>
      <c r="K391" s="140">
        <f t="shared" si="35"/>
        <v>59953.889753472708</v>
      </c>
      <c r="L391" s="141">
        <v>0</v>
      </c>
      <c r="M391" s="5"/>
    </row>
    <row r="392" spans="2:13" ht="15.75" customHeight="1" x14ac:dyDescent="0.25">
      <c r="B392" s="14"/>
      <c r="C392" s="123"/>
      <c r="D392" s="123"/>
      <c r="E392" s="123"/>
      <c r="F392" s="54">
        <v>344</v>
      </c>
      <c r="G392" s="140">
        <f t="shared" si="34"/>
        <v>3694.3032025583493</v>
      </c>
      <c r="H392" s="140">
        <f t="shared" si="33"/>
        <v>3382.0433600923457</v>
      </c>
      <c r="I392" s="140">
        <f>K391*D368/12</f>
        <v>312.2598424660037</v>
      </c>
      <c r="J392" s="140">
        <f>IF(K391&gt;=(D369*D373),D372,0)</f>
        <v>0</v>
      </c>
      <c r="K392" s="140">
        <f t="shared" si="35"/>
        <v>56571.846393380365</v>
      </c>
      <c r="L392" s="141">
        <v>0</v>
      </c>
      <c r="M392" s="5"/>
    </row>
    <row r="393" spans="2:13" ht="15.75" customHeight="1" x14ac:dyDescent="0.25">
      <c r="B393" s="14"/>
      <c r="C393" s="123"/>
      <c r="D393" s="123"/>
      <c r="E393" s="123"/>
      <c r="F393" s="54">
        <v>345</v>
      </c>
      <c r="G393" s="140">
        <f t="shared" si="34"/>
        <v>3694.3032025583493</v>
      </c>
      <c r="H393" s="140">
        <f t="shared" si="33"/>
        <v>3399.6581692594932</v>
      </c>
      <c r="I393" s="140">
        <f>K392*D368/12</f>
        <v>294.64503329885605</v>
      </c>
      <c r="J393" s="140">
        <f>IF(K392&gt;=(D369*D373),D372,0)</f>
        <v>0</v>
      </c>
      <c r="K393" s="140">
        <f t="shared" si="35"/>
        <v>53172.188224120873</v>
      </c>
      <c r="L393" s="141">
        <v>0</v>
      </c>
      <c r="M393" s="5"/>
    </row>
    <row r="394" spans="2:13" ht="15.75" customHeight="1" x14ac:dyDescent="0.25">
      <c r="B394" s="14"/>
      <c r="C394" s="123"/>
      <c r="D394" s="123"/>
      <c r="E394" s="123"/>
      <c r="F394" s="54">
        <v>346</v>
      </c>
      <c r="G394" s="140">
        <f t="shared" si="34"/>
        <v>3694.3032025583493</v>
      </c>
      <c r="H394" s="140">
        <f t="shared" si="33"/>
        <v>3417.3647222243862</v>
      </c>
      <c r="I394" s="140">
        <f>K393*D368/12</f>
        <v>276.9384803339629</v>
      </c>
      <c r="J394" s="140">
        <f>IF(K393&gt;=(D369*D373),D372,0)</f>
        <v>0</v>
      </c>
      <c r="K394" s="140">
        <f t="shared" si="35"/>
        <v>49754.823501896484</v>
      </c>
      <c r="L394" s="141">
        <v>0</v>
      </c>
      <c r="M394" s="5"/>
    </row>
    <row r="395" spans="2:13" ht="15.75" customHeight="1" x14ac:dyDescent="0.25">
      <c r="B395" s="14"/>
      <c r="C395" s="123"/>
      <c r="D395" s="123"/>
      <c r="E395" s="123"/>
      <c r="F395" s="54">
        <v>347</v>
      </c>
      <c r="G395" s="140">
        <f t="shared" si="34"/>
        <v>3694.3032025583493</v>
      </c>
      <c r="H395" s="140">
        <f t="shared" si="33"/>
        <v>3435.1634968193052</v>
      </c>
      <c r="I395" s="140">
        <f>K394*D368/12</f>
        <v>259.13970573904419</v>
      </c>
      <c r="J395" s="140">
        <f>IF(K394&gt;=(D369*D373),D372,0)</f>
        <v>0</v>
      </c>
      <c r="K395" s="140">
        <f t="shared" si="35"/>
        <v>46319.660005077181</v>
      </c>
      <c r="L395" s="141">
        <v>0</v>
      </c>
      <c r="M395" s="5"/>
    </row>
    <row r="396" spans="2:13" ht="15.75" customHeight="1" x14ac:dyDescent="0.25">
      <c r="B396" s="14"/>
      <c r="C396" s="123"/>
      <c r="D396" s="123"/>
      <c r="E396" s="123"/>
      <c r="F396" s="151">
        <v>348</v>
      </c>
      <c r="G396" s="140">
        <f t="shared" si="34"/>
        <v>3694.3032025583493</v>
      </c>
      <c r="H396" s="140">
        <f t="shared" si="33"/>
        <v>3453.0549733652388</v>
      </c>
      <c r="I396" s="140">
        <f>K395*D368/12</f>
        <v>241.24822919311032</v>
      </c>
      <c r="J396" s="140">
        <f>IF(K395&gt;=(D369*D373),D372,0)</f>
        <v>0</v>
      </c>
      <c r="K396" s="140">
        <f t="shared" si="35"/>
        <v>42866.605031711944</v>
      </c>
      <c r="L396" s="141">
        <v>0</v>
      </c>
      <c r="M396" s="5"/>
    </row>
    <row r="397" spans="2:13" ht="15.75" customHeight="1" x14ac:dyDescent="0.25">
      <c r="B397" s="14"/>
      <c r="C397" s="123"/>
      <c r="D397" s="123"/>
      <c r="E397" s="123"/>
      <c r="F397" s="54">
        <v>349</v>
      </c>
      <c r="G397" s="140">
        <f t="shared" si="34"/>
        <v>3694.3032025583493</v>
      </c>
      <c r="H397" s="140">
        <f t="shared" si="33"/>
        <v>3471.0396346848497</v>
      </c>
      <c r="I397" s="140">
        <f>K396*D368/12</f>
        <v>223.26356787349971</v>
      </c>
      <c r="J397" s="140">
        <f>IF(K396&gt;=(D369*D373),D372,0)</f>
        <v>0</v>
      </c>
      <c r="K397" s="140">
        <f t="shared" si="35"/>
        <v>39395.565397027094</v>
      </c>
      <c r="L397" s="141">
        <v>0</v>
      </c>
      <c r="M397" s="5"/>
    </row>
    <row r="398" spans="2:13" ht="15.75" customHeight="1" x14ac:dyDescent="0.25">
      <c r="B398" s="14"/>
      <c r="C398" s="123"/>
      <c r="D398" s="123"/>
      <c r="E398" s="123"/>
      <c r="F398" s="162">
        <v>350</v>
      </c>
      <c r="G398" s="140">
        <f t="shared" si="34"/>
        <v>3694.3032025583493</v>
      </c>
      <c r="H398" s="140">
        <f t="shared" si="33"/>
        <v>3489.1179661154997</v>
      </c>
      <c r="I398" s="140">
        <f>K397*D368/12</f>
        <v>205.18523644284946</v>
      </c>
      <c r="J398" s="140">
        <f>IF(K397&gt;=(D369*D373),D372,0)</f>
        <v>0</v>
      </c>
      <c r="K398" s="140">
        <f t="shared" si="35"/>
        <v>35906.447430911598</v>
      </c>
      <c r="L398" s="141">
        <v>0</v>
      </c>
      <c r="M398" s="5"/>
    </row>
    <row r="399" spans="2:13" ht="15.75" customHeight="1" x14ac:dyDescent="0.25">
      <c r="B399" s="14"/>
      <c r="C399" s="123"/>
      <c r="D399" s="123"/>
      <c r="E399" s="123"/>
      <c r="F399" s="54">
        <v>351</v>
      </c>
      <c r="G399" s="140">
        <f t="shared" si="34"/>
        <v>3694.3032025583493</v>
      </c>
      <c r="H399" s="140">
        <f t="shared" si="33"/>
        <v>3507.2904555223513</v>
      </c>
      <c r="I399" s="140">
        <f>K398*D368/12</f>
        <v>187.0127470359979</v>
      </c>
      <c r="J399" s="140">
        <f>IF(K398&gt;=(D369*D373),D372,0)</f>
        <v>0</v>
      </c>
      <c r="K399" s="140">
        <f t="shared" si="35"/>
        <v>32399.156975389247</v>
      </c>
      <c r="L399" s="141">
        <v>0</v>
      </c>
      <c r="M399" s="5"/>
    </row>
    <row r="400" spans="2:13" ht="15.75" customHeight="1" x14ac:dyDescent="0.25">
      <c r="B400" s="14"/>
      <c r="C400" s="123"/>
      <c r="D400" s="123"/>
      <c r="E400" s="123"/>
      <c r="F400" s="54">
        <v>352</v>
      </c>
      <c r="G400" s="140">
        <f t="shared" si="34"/>
        <v>3694.3032025583493</v>
      </c>
      <c r="H400" s="140">
        <f t="shared" si="33"/>
        <v>3525.5575933115301</v>
      </c>
      <c r="I400" s="140">
        <f>K399*D368/12</f>
        <v>168.74560924681899</v>
      </c>
      <c r="J400" s="140">
        <f>IF(K399&gt;=(D369*D373),D372,0)</f>
        <v>0</v>
      </c>
      <c r="K400" s="140">
        <f t="shared" si="35"/>
        <v>28873.599382077718</v>
      </c>
      <c r="L400" s="141">
        <v>0</v>
      </c>
      <c r="M400" s="5"/>
    </row>
    <row r="401" spans="2:13" ht="15.75" customHeight="1" x14ac:dyDescent="0.25">
      <c r="B401" s="14"/>
      <c r="C401" s="123"/>
      <c r="D401" s="123"/>
      <c r="E401" s="123"/>
      <c r="F401" s="54">
        <v>353</v>
      </c>
      <c r="G401" s="140">
        <f t="shared" si="34"/>
        <v>3694.3032025583493</v>
      </c>
      <c r="H401" s="140">
        <f t="shared" si="33"/>
        <v>3543.9198724433613</v>
      </c>
      <c r="I401" s="140">
        <f>K400*D368/12</f>
        <v>150.38333011498813</v>
      </c>
      <c r="J401" s="140">
        <f>IF(K400&gt;=(D369*D373),D372,0)</f>
        <v>0</v>
      </c>
      <c r="K401" s="140">
        <f t="shared" si="35"/>
        <v>25329.679509634356</v>
      </c>
      <c r="L401" s="141">
        <v>0</v>
      </c>
      <c r="M401" s="5"/>
    </row>
    <row r="402" spans="2:13" ht="15.75" customHeight="1" x14ac:dyDescent="0.25">
      <c r="B402" s="14"/>
      <c r="C402" s="123"/>
      <c r="D402" s="123"/>
      <c r="E402" s="123"/>
      <c r="F402" s="54">
        <v>354</v>
      </c>
      <c r="G402" s="140">
        <f t="shared" si="34"/>
        <v>3694.3032025583493</v>
      </c>
      <c r="H402" s="140">
        <f t="shared" si="33"/>
        <v>3562.3777884456704</v>
      </c>
      <c r="I402" s="140">
        <f>K401*D368/12</f>
        <v>131.92541411267894</v>
      </c>
      <c r="J402" s="140">
        <f>IF(K401&gt;=(D369*D373),D372,0)</f>
        <v>0</v>
      </c>
      <c r="K402" s="140">
        <f t="shared" si="35"/>
        <v>21767.301721188684</v>
      </c>
      <c r="L402" s="141">
        <v>0</v>
      </c>
      <c r="M402" s="5"/>
    </row>
    <row r="403" spans="2:13" ht="15.75" customHeight="1" x14ac:dyDescent="0.25">
      <c r="B403" s="14"/>
      <c r="C403" s="123"/>
      <c r="D403" s="123"/>
      <c r="E403" s="123"/>
      <c r="F403" s="54">
        <v>355</v>
      </c>
      <c r="G403" s="140">
        <f t="shared" si="34"/>
        <v>3694.3032025583493</v>
      </c>
      <c r="H403" s="140">
        <f t="shared" si="33"/>
        <v>3580.9318394271581</v>
      </c>
      <c r="I403" s="140">
        <f>K402*D368/12</f>
        <v>113.37136313119106</v>
      </c>
      <c r="J403" s="140">
        <f>IF(K402&gt;=(D369*D373),D372,0)</f>
        <v>0</v>
      </c>
      <c r="K403" s="140">
        <f t="shared" si="35"/>
        <v>18186.369881761526</v>
      </c>
      <c r="L403" s="141">
        <v>0</v>
      </c>
      <c r="M403" s="5"/>
    </row>
    <row r="404" spans="2:13" ht="15.75" customHeight="1" x14ac:dyDescent="0.25">
      <c r="B404" s="14"/>
      <c r="C404" s="123"/>
      <c r="D404" s="123"/>
      <c r="E404" s="123"/>
      <c r="F404" s="54">
        <v>356</v>
      </c>
      <c r="G404" s="140">
        <f t="shared" si="34"/>
        <v>3694.3032025583493</v>
      </c>
      <c r="H404" s="140">
        <f t="shared" si="33"/>
        <v>3599.5825260908414</v>
      </c>
      <c r="I404" s="140">
        <f>K403*D368/12</f>
        <v>94.720676467507943</v>
      </c>
      <c r="J404" s="140">
        <f>IF(K403&gt;=(D369*D373),D372,0)</f>
        <v>0</v>
      </c>
      <c r="K404" s="140">
        <f t="shared" si="35"/>
        <v>14586.787355670684</v>
      </c>
      <c r="L404" s="141">
        <v>0</v>
      </c>
      <c r="M404" s="5"/>
    </row>
    <row r="405" spans="2:13" ht="15.75" customHeight="1" x14ac:dyDescent="0.25">
      <c r="B405" s="14"/>
      <c r="C405" s="123"/>
      <c r="D405" s="123"/>
      <c r="E405" s="123"/>
      <c r="F405" s="54">
        <v>357</v>
      </c>
      <c r="G405" s="140">
        <f t="shared" si="34"/>
        <v>3694.3032025583493</v>
      </c>
      <c r="H405" s="140">
        <f t="shared" si="33"/>
        <v>3618.3303517475647</v>
      </c>
      <c r="I405" s="140">
        <f>K404*D368/12</f>
        <v>75.972850810784806</v>
      </c>
      <c r="J405" s="140">
        <f>IF(K404&gt;=(D369*D373),D372,0)</f>
        <v>0</v>
      </c>
      <c r="K405" s="140">
        <f t="shared" si="35"/>
        <v>10968.457003923118</v>
      </c>
      <c r="L405" s="141">
        <v>0</v>
      </c>
      <c r="M405" s="5"/>
    </row>
    <row r="406" spans="2:13" ht="15.75" customHeight="1" x14ac:dyDescent="0.25">
      <c r="B406" s="14"/>
      <c r="C406" s="123"/>
      <c r="D406" s="123"/>
      <c r="E406" s="123"/>
      <c r="F406" s="54">
        <v>358</v>
      </c>
      <c r="G406" s="140">
        <f t="shared" si="34"/>
        <v>3694.3032025583493</v>
      </c>
      <c r="H406" s="140">
        <f t="shared" si="33"/>
        <v>3637.1758223295828</v>
      </c>
      <c r="I406" s="140">
        <f>K405*D368/12</f>
        <v>57.127380228766242</v>
      </c>
      <c r="J406" s="140">
        <f>IF(K405&gt;=(D369*D373),D372,0)</f>
        <v>0</v>
      </c>
      <c r="K406" s="140">
        <f t="shared" si="35"/>
        <v>7331.2811815935356</v>
      </c>
      <c r="L406" s="141">
        <v>0</v>
      </c>
      <c r="M406" s="5"/>
    </row>
    <row r="407" spans="2:13" ht="15.75" customHeight="1" x14ac:dyDescent="0.25">
      <c r="B407" s="14"/>
      <c r="C407" s="123"/>
      <c r="D407" s="123"/>
      <c r="E407" s="123"/>
      <c r="F407" s="54">
        <v>359</v>
      </c>
      <c r="G407" s="140">
        <f t="shared" si="34"/>
        <v>3694.3032025583493</v>
      </c>
      <c r="H407" s="140">
        <f t="shared" si="33"/>
        <v>3656.1194464042164</v>
      </c>
      <c r="I407" s="140">
        <f>K406*D368/12</f>
        <v>38.183756154133</v>
      </c>
      <c r="J407" s="140">
        <f>IF(K406&gt;=(D369*D373),D372,0)</f>
        <v>0</v>
      </c>
      <c r="K407" s="140">
        <f t="shared" si="35"/>
        <v>3675.1617351893192</v>
      </c>
      <c r="L407" s="141">
        <v>0</v>
      </c>
      <c r="M407" s="5"/>
    </row>
    <row r="408" spans="2:13" ht="15.75" customHeight="1" x14ac:dyDescent="0.25">
      <c r="B408" s="14"/>
      <c r="C408" s="123"/>
      <c r="D408" s="123"/>
      <c r="E408" s="123"/>
      <c r="F408" s="152">
        <v>360</v>
      </c>
      <c r="G408" s="153">
        <f t="shared" si="34"/>
        <v>3694.3032025583493</v>
      </c>
      <c r="H408" s="153">
        <f t="shared" si="33"/>
        <v>3675.1617351875716</v>
      </c>
      <c r="I408" s="153">
        <f>K407*D368/12</f>
        <v>19.141467370777704</v>
      </c>
      <c r="J408" s="153">
        <f>IF(K407&gt;=(D369*D373),D372,0)</f>
        <v>0</v>
      </c>
      <c r="K408" s="153">
        <f t="shared" si="35"/>
        <v>1.7475940694566816E-9</v>
      </c>
      <c r="L408" s="154">
        <v>0</v>
      </c>
      <c r="M408" s="5"/>
    </row>
    <row r="409" spans="2:13" ht="11.25" customHeight="1" x14ac:dyDescent="0.25">
      <c r="B409" s="62"/>
      <c r="C409" s="155"/>
      <c r="D409" s="155"/>
      <c r="E409" s="155"/>
      <c r="F409" s="156"/>
      <c r="G409" s="157"/>
      <c r="H409" s="157"/>
      <c r="I409" s="157"/>
      <c r="J409" s="157"/>
      <c r="K409" s="157"/>
      <c r="L409" s="158"/>
      <c r="M409" s="64"/>
    </row>
    <row r="410" spans="2:13" ht="15.75" customHeight="1" x14ac:dyDescent="0.25">
      <c r="C410" s="120"/>
      <c r="D410" s="120"/>
      <c r="E410" s="120"/>
      <c r="G410" s="140"/>
      <c r="L410" s="56"/>
    </row>
    <row r="411" spans="2:13" ht="15.75" customHeight="1" x14ac:dyDescent="0.25">
      <c r="C411" s="120"/>
      <c r="D411" s="120"/>
      <c r="E411" s="120"/>
      <c r="G411" s="140"/>
      <c r="L411" s="56"/>
    </row>
    <row r="412" spans="2:13" ht="15.75" customHeight="1" x14ac:dyDescent="0.25">
      <c r="C412" s="120"/>
      <c r="D412" s="120"/>
      <c r="E412" s="120"/>
      <c r="G412" s="140"/>
      <c r="L412" s="56"/>
    </row>
    <row r="413" spans="2:13" ht="15.75" customHeight="1" x14ac:dyDescent="0.25">
      <c r="C413" s="120"/>
      <c r="D413" s="120"/>
      <c r="E413" s="120"/>
      <c r="G413" s="140"/>
      <c r="L413" s="56"/>
    </row>
    <row r="414" spans="2:13" ht="15.75" customHeight="1" x14ac:dyDescent="0.25">
      <c r="C414" s="120"/>
      <c r="D414" s="120"/>
      <c r="E414" s="120"/>
      <c r="G414" s="140"/>
      <c r="L414" s="56"/>
    </row>
    <row r="415" spans="2:13" ht="15.75" customHeight="1" x14ac:dyDescent="0.25">
      <c r="C415" s="120"/>
      <c r="D415" s="120"/>
      <c r="E415" s="120"/>
      <c r="G415" s="140"/>
      <c r="L415" s="56"/>
    </row>
    <row r="416" spans="2:13" ht="15.75" customHeight="1" x14ac:dyDescent="0.25">
      <c r="C416" s="120"/>
      <c r="D416" s="120"/>
      <c r="E416" s="120"/>
      <c r="G416" s="140"/>
      <c r="L416" s="56"/>
    </row>
    <row r="417" spans="3:12" ht="15.75" customHeight="1" x14ac:dyDescent="0.25">
      <c r="C417" s="120"/>
      <c r="D417" s="120"/>
      <c r="E417" s="120"/>
      <c r="G417" s="140"/>
      <c r="L417" s="56"/>
    </row>
    <row r="418" spans="3:12" ht="15.75" customHeight="1" x14ac:dyDescent="0.25">
      <c r="C418" s="120"/>
      <c r="D418" s="120"/>
      <c r="E418" s="120"/>
      <c r="G418" s="140"/>
      <c r="L418" s="56"/>
    </row>
    <row r="419" spans="3:12" ht="15.75" customHeight="1" x14ac:dyDescent="0.25">
      <c r="C419" s="120"/>
      <c r="D419" s="120"/>
      <c r="E419" s="120"/>
      <c r="G419" s="140"/>
      <c r="L419" s="56"/>
    </row>
    <row r="420" spans="3:12" ht="15.75" customHeight="1" x14ac:dyDescent="0.25">
      <c r="C420" s="120"/>
      <c r="D420" s="120"/>
      <c r="E420" s="120"/>
      <c r="L420" s="56"/>
    </row>
    <row r="421" spans="3:12" ht="15.75" customHeight="1" x14ac:dyDescent="0.25">
      <c r="C421" s="120"/>
      <c r="D421" s="120"/>
      <c r="E421" s="120"/>
      <c r="L421" s="56"/>
    </row>
    <row r="422" spans="3:12" ht="15.75" customHeight="1" x14ac:dyDescent="0.25">
      <c r="C422" s="120"/>
      <c r="D422" s="120"/>
      <c r="E422" s="120"/>
      <c r="L422" s="56"/>
    </row>
    <row r="423" spans="3:12" ht="15.75" customHeight="1" x14ac:dyDescent="0.25">
      <c r="C423" s="120"/>
      <c r="D423" s="120"/>
      <c r="E423" s="120"/>
      <c r="L423" s="56"/>
    </row>
    <row r="424" spans="3:12" ht="15.75" customHeight="1" x14ac:dyDescent="0.25">
      <c r="C424" s="120"/>
      <c r="D424" s="120"/>
      <c r="E424" s="120"/>
      <c r="L424" s="56"/>
    </row>
    <row r="425" spans="3:12" ht="15.75" customHeight="1" x14ac:dyDescent="0.25">
      <c r="C425" s="120"/>
      <c r="D425" s="120"/>
      <c r="E425" s="120"/>
      <c r="L425" s="56"/>
    </row>
    <row r="426" spans="3:12" ht="15.75" customHeight="1" x14ac:dyDescent="0.25">
      <c r="C426" s="120"/>
      <c r="D426" s="120"/>
      <c r="E426" s="120"/>
      <c r="L426" s="56"/>
    </row>
    <row r="427" spans="3:12" ht="15.75" customHeight="1" x14ac:dyDescent="0.25">
      <c r="C427" s="120"/>
      <c r="D427" s="120"/>
      <c r="E427" s="120"/>
      <c r="L427" s="56"/>
    </row>
    <row r="428" spans="3:12" ht="15.75" customHeight="1" x14ac:dyDescent="0.25">
      <c r="C428" s="120"/>
      <c r="D428" s="120"/>
      <c r="E428" s="120"/>
      <c r="L428" s="56"/>
    </row>
    <row r="429" spans="3:12" ht="15.75" customHeight="1" x14ac:dyDescent="0.25">
      <c r="C429" s="120"/>
      <c r="D429" s="120"/>
      <c r="E429" s="120"/>
      <c r="L429" s="56"/>
    </row>
    <row r="430" spans="3:12" ht="15.75" customHeight="1" x14ac:dyDescent="0.25">
      <c r="C430" s="120"/>
      <c r="D430" s="120"/>
      <c r="E430" s="120"/>
      <c r="L430" s="56"/>
    </row>
    <row r="431" spans="3:12" ht="15.75" customHeight="1" x14ac:dyDescent="0.25">
      <c r="C431" s="120"/>
      <c r="D431" s="120"/>
      <c r="E431" s="120"/>
      <c r="L431" s="56"/>
    </row>
    <row r="432" spans="3:12" ht="15.75" customHeight="1" x14ac:dyDescent="0.25">
      <c r="C432" s="120"/>
      <c r="D432" s="120"/>
      <c r="E432" s="120"/>
      <c r="L432" s="56"/>
    </row>
    <row r="433" spans="3:12" ht="15.75" customHeight="1" x14ac:dyDescent="0.25">
      <c r="C433" s="120"/>
      <c r="D433" s="120"/>
      <c r="E433" s="120"/>
      <c r="L433" s="56"/>
    </row>
    <row r="434" spans="3:12" ht="15.75" customHeight="1" x14ac:dyDescent="0.25">
      <c r="C434" s="120"/>
      <c r="D434" s="120"/>
      <c r="E434" s="120"/>
      <c r="L434" s="56"/>
    </row>
    <row r="435" spans="3:12" ht="15.75" customHeight="1" x14ac:dyDescent="0.25">
      <c r="C435" s="120"/>
      <c r="D435" s="120"/>
      <c r="E435" s="120"/>
      <c r="L435" s="56"/>
    </row>
    <row r="436" spans="3:12" ht="15.75" customHeight="1" x14ac:dyDescent="0.25">
      <c r="C436" s="120"/>
      <c r="D436" s="120"/>
      <c r="E436" s="120"/>
      <c r="L436" s="56"/>
    </row>
    <row r="437" spans="3:12" ht="15.75" customHeight="1" x14ac:dyDescent="0.25">
      <c r="C437" s="120"/>
      <c r="D437" s="120"/>
      <c r="E437" s="120"/>
      <c r="L437" s="56"/>
    </row>
    <row r="438" spans="3:12" ht="15.75" customHeight="1" x14ac:dyDescent="0.25">
      <c r="C438" s="120"/>
      <c r="D438" s="120"/>
      <c r="E438" s="120"/>
      <c r="L438" s="56"/>
    </row>
    <row r="439" spans="3:12" ht="15.75" customHeight="1" x14ac:dyDescent="0.25">
      <c r="C439" s="120"/>
      <c r="D439" s="120"/>
      <c r="E439" s="120"/>
      <c r="L439" s="56"/>
    </row>
    <row r="440" spans="3:12" ht="15.75" customHeight="1" x14ac:dyDescent="0.25">
      <c r="C440" s="120"/>
      <c r="D440" s="120"/>
      <c r="E440" s="120"/>
      <c r="L440" s="56"/>
    </row>
    <row r="441" spans="3:12" ht="15.75" customHeight="1" x14ac:dyDescent="0.25">
      <c r="C441" s="120"/>
      <c r="D441" s="120"/>
      <c r="E441" s="120"/>
      <c r="L441" s="56"/>
    </row>
    <row r="442" spans="3:12" ht="15.75" customHeight="1" x14ac:dyDescent="0.25">
      <c r="C442" s="120"/>
      <c r="D442" s="120"/>
      <c r="E442" s="120"/>
      <c r="L442" s="56"/>
    </row>
    <row r="443" spans="3:12" ht="15.75" customHeight="1" x14ac:dyDescent="0.25">
      <c r="C443" s="120"/>
      <c r="D443" s="120"/>
      <c r="E443" s="120"/>
      <c r="L443" s="56"/>
    </row>
    <row r="444" spans="3:12" ht="15.75" customHeight="1" x14ac:dyDescent="0.25">
      <c r="C444" s="120"/>
      <c r="D444" s="120"/>
      <c r="E444" s="120"/>
      <c r="L444" s="56"/>
    </row>
    <row r="445" spans="3:12" ht="15.75" customHeight="1" x14ac:dyDescent="0.25">
      <c r="C445" s="120"/>
      <c r="D445" s="120"/>
      <c r="E445" s="120"/>
      <c r="L445" s="56"/>
    </row>
    <row r="446" spans="3:12" ht="15.75" customHeight="1" x14ac:dyDescent="0.25">
      <c r="C446" s="120"/>
      <c r="D446" s="120"/>
      <c r="E446" s="120"/>
      <c r="L446" s="56"/>
    </row>
    <row r="447" spans="3:12" ht="15.75" customHeight="1" x14ac:dyDescent="0.25">
      <c r="C447" s="120"/>
      <c r="D447" s="120"/>
      <c r="E447" s="120"/>
      <c r="L447" s="56"/>
    </row>
    <row r="448" spans="3:12" ht="15.75" customHeight="1" x14ac:dyDescent="0.25">
      <c r="C448" s="120"/>
      <c r="D448" s="120"/>
      <c r="E448" s="120"/>
      <c r="L448" s="56"/>
    </row>
    <row r="449" spans="3:12" ht="15.75" customHeight="1" x14ac:dyDescent="0.25">
      <c r="C449" s="120"/>
      <c r="D449" s="120"/>
      <c r="E449" s="120"/>
      <c r="L449" s="56"/>
    </row>
    <row r="450" spans="3:12" ht="15.75" customHeight="1" x14ac:dyDescent="0.25">
      <c r="C450" s="120"/>
      <c r="D450" s="120"/>
      <c r="E450" s="120"/>
      <c r="L450" s="56"/>
    </row>
    <row r="451" spans="3:12" ht="15.75" customHeight="1" x14ac:dyDescent="0.25">
      <c r="C451" s="120"/>
      <c r="D451" s="120"/>
      <c r="E451" s="120"/>
      <c r="L451" s="56"/>
    </row>
    <row r="452" spans="3:12" ht="15.75" customHeight="1" x14ac:dyDescent="0.25">
      <c r="C452" s="120"/>
      <c r="D452" s="120"/>
      <c r="E452" s="120"/>
      <c r="L452" s="56"/>
    </row>
    <row r="453" spans="3:12" ht="15.75" customHeight="1" x14ac:dyDescent="0.25">
      <c r="C453" s="120"/>
      <c r="D453" s="120"/>
      <c r="E453" s="120"/>
      <c r="L453" s="56"/>
    </row>
    <row r="454" spans="3:12" ht="15.75" customHeight="1" x14ac:dyDescent="0.25">
      <c r="C454" s="120"/>
      <c r="D454" s="120"/>
      <c r="E454" s="120"/>
      <c r="L454" s="56"/>
    </row>
    <row r="455" spans="3:12" ht="15.75" customHeight="1" x14ac:dyDescent="0.25">
      <c r="C455" s="120"/>
      <c r="D455" s="120"/>
      <c r="E455" s="120"/>
      <c r="L455" s="56"/>
    </row>
    <row r="456" spans="3:12" ht="15.75" customHeight="1" x14ac:dyDescent="0.25">
      <c r="C456" s="120"/>
      <c r="D456" s="120"/>
      <c r="E456" s="120"/>
      <c r="L456" s="56"/>
    </row>
    <row r="457" spans="3:12" ht="15.75" customHeight="1" x14ac:dyDescent="0.25">
      <c r="C457" s="120"/>
      <c r="D457" s="120"/>
      <c r="E457" s="120"/>
      <c r="L457" s="56"/>
    </row>
    <row r="458" spans="3:12" ht="15.75" customHeight="1" x14ac:dyDescent="0.25">
      <c r="C458" s="120"/>
      <c r="D458" s="120"/>
      <c r="E458" s="120"/>
      <c r="L458" s="56"/>
    </row>
    <row r="459" spans="3:12" ht="15.75" customHeight="1" x14ac:dyDescent="0.25">
      <c r="C459" s="120"/>
      <c r="D459" s="120"/>
      <c r="E459" s="120"/>
      <c r="L459" s="56"/>
    </row>
    <row r="460" spans="3:12" ht="15.75" customHeight="1" x14ac:dyDescent="0.25">
      <c r="C460" s="120"/>
      <c r="D460" s="120"/>
      <c r="E460" s="120"/>
      <c r="L460" s="56"/>
    </row>
    <row r="461" spans="3:12" ht="15.75" customHeight="1" x14ac:dyDescent="0.25">
      <c r="C461" s="120"/>
      <c r="D461" s="120"/>
      <c r="E461" s="120"/>
      <c r="L461" s="56"/>
    </row>
    <row r="462" spans="3:12" ht="15.75" customHeight="1" x14ac:dyDescent="0.25">
      <c r="C462" s="120"/>
      <c r="D462" s="120"/>
      <c r="E462" s="120"/>
      <c r="L462" s="56"/>
    </row>
    <row r="463" spans="3:12" ht="15.75" customHeight="1" x14ac:dyDescent="0.25">
      <c r="C463" s="120"/>
      <c r="D463" s="120"/>
      <c r="E463" s="120"/>
      <c r="L463" s="56"/>
    </row>
    <row r="464" spans="3:12" ht="15.75" customHeight="1" x14ac:dyDescent="0.25">
      <c r="C464" s="120"/>
      <c r="D464" s="120"/>
      <c r="E464" s="120"/>
      <c r="L464" s="56"/>
    </row>
    <row r="465" spans="3:12" ht="15.75" customHeight="1" x14ac:dyDescent="0.25">
      <c r="C465" s="120"/>
      <c r="D465" s="120"/>
      <c r="E465" s="120"/>
      <c r="L465" s="56"/>
    </row>
    <row r="466" spans="3:12" ht="15.75" customHeight="1" x14ac:dyDescent="0.25">
      <c r="C466" s="120"/>
      <c r="D466" s="120"/>
      <c r="E466" s="120"/>
      <c r="L466" s="56"/>
    </row>
    <row r="467" spans="3:12" ht="15.75" customHeight="1" x14ac:dyDescent="0.25">
      <c r="C467" s="120"/>
      <c r="D467" s="120"/>
      <c r="E467" s="120"/>
      <c r="L467" s="56"/>
    </row>
    <row r="468" spans="3:12" ht="15.75" customHeight="1" x14ac:dyDescent="0.25">
      <c r="C468" s="120"/>
      <c r="D468" s="120"/>
      <c r="E468" s="120"/>
      <c r="L468" s="56"/>
    </row>
    <row r="469" spans="3:12" ht="15.75" customHeight="1" x14ac:dyDescent="0.25">
      <c r="C469" s="120"/>
      <c r="D469" s="120"/>
      <c r="E469" s="120"/>
      <c r="L469" s="56"/>
    </row>
    <row r="470" spans="3:12" ht="15.75" customHeight="1" x14ac:dyDescent="0.25">
      <c r="C470" s="120"/>
      <c r="D470" s="120"/>
      <c r="E470" s="120"/>
      <c r="L470" s="56"/>
    </row>
    <row r="471" spans="3:12" ht="15.75" customHeight="1" x14ac:dyDescent="0.25">
      <c r="C471" s="120"/>
      <c r="D471" s="120"/>
      <c r="E471" s="120"/>
      <c r="L471" s="56"/>
    </row>
    <row r="472" spans="3:12" ht="15.75" customHeight="1" x14ac:dyDescent="0.25">
      <c r="C472" s="120"/>
      <c r="D472" s="120"/>
      <c r="E472" s="120"/>
      <c r="L472" s="56"/>
    </row>
    <row r="473" spans="3:12" ht="15.75" customHeight="1" x14ac:dyDescent="0.25">
      <c r="C473" s="120"/>
      <c r="D473" s="120"/>
      <c r="E473" s="120"/>
      <c r="L473" s="56"/>
    </row>
    <row r="474" spans="3:12" ht="15.75" customHeight="1" x14ac:dyDescent="0.25">
      <c r="C474" s="120"/>
      <c r="D474" s="120"/>
      <c r="E474" s="120"/>
      <c r="L474" s="56"/>
    </row>
    <row r="475" spans="3:12" ht="15.75" customHeight="1" x14ac:dyDescent="0.25">
      <c r="C475" s="120"/>
      <c r="D475" s="120"/>
      <c r="E475" s="120"/>
      <c r="L475" s="56"/>
    </row>
    <row r="476" spans="3:12" ht="15.75" customHeight="1" x14ac:dyDescent="0.25">
      <c r="C476" s="120"/>
      <c r="D476" s="120"/>
      <c r="E476" s="120"/>
      <c r="L476" s="56"/>
    </row>
    <row r="477" spans="3:12" ht="15.75" customHeight="1" x14ac:dyDescent="0.25">
      <c r="C477" s="120"/>
      <c r="D477" s="120"/>
      <c r="E477" s="120"/>
      <c r="L477" s="56"/>
    </row>
    <row r="478" spans="3:12" ht="15.75" customHeight="1" x14ac:dyDescent="0.25">
      <c r="C478" s="120"/>
      <c r="D478" s="120"/>
      <c r="E478" s="120"/>
      <c r="L478" s="56"/>
    </row>
    <row r="479" spans="3:12" ht="15.75" customHeight="1" x14ac:dyDescent="0.25">
      <c r="C479" s="120"/>
      <c r="D479" s="120"/>
      <c r="E479" s="120"/>
      <c r="L479" s="56"/>
    </row>
    <row r="480" spans="3:12" ht="15.75" customHeight="1" x14ac:dyDescent="0.25">
      <c r="C480" s="120"/>
      <c r="D480" s="120"/>
      <c r="E480" s="120"/>
      <c r="L480" s="56"/>
    </row>
    <row r="481" spans="3:12" ht="15.75" customHeight="1" x14ac:dyDescent="0.25">
      <c r="C481" s="120"/>
      <c r="D481" s="120"/>
      <c r="E481" s="120"/>
      <c r="L481" s="56"/>
    </row>
    <row r="482" spans="3:12" ht="15.75" customHeight="1" x14ac:dyDescent="0.25">
      <c r="C482" s="120"/>
      <c r="D482" s="120"/>
      <c r="E482" s="120"/>
      <c r="L482" s="56"/>
    </row>
    <row r="483" spans="3:12" ht="15.75" customHeight="1" x14ac:dyDescent="0.25">
      <c r="C483" s="120"/>
      <c r="D483" s="120"/>
      <c r="E483" s="120"/>
      <c r="L483" s="56"/>
    </row>
    <row r="484" spans="3:12" ht="15.75" customHeight="1" x14ac:dyDescent="0.25">
      <c r="C484" s="120"/>
      <c r="D484" s="120"/>
      <c r="E484" s="120"/>
      <c r="L484" s="56"/>
    </row>
    <row r="485" spans="3:12" ht="15.75" customHeight="1" x14ac:dyDescent="0.25">
      <c r="C485" s="120"/>
      <c r="D485" s="120"/>
      <c r="E485" s="120"/>
      <c r="L485" s="56"/>
    </row>
    <row r="486" spans="3:12" ht="15.75" customHeight="1" x14ac:dyDescent="0.25">
      <c r="C486" s="120"/>
      <c r="D486" s="120"/>
      <c r="E486" s="120"/>
      <c r="L486" s="56"/>
    </row>
    <row r="487" spans="3:12" ht="15.75" customHeight="1" x14ac:dyDescent="0.25">
      <c r="C487" s="120"/>
      <c r="D487" s="120"/>
      <c r="E487" s="120"/>
      <c r="L487" s="56"/>
    </row>
    <row r="488" spans="3:12" ht="15.75" customHeight="1" x14ac:dyDescent="0.25">
      <c r="C488" s="120"/>
      <c r="D488" s="120"/>
      <c r="E488" s="120"/>
      <c r="L488" s="56"/>
    </row>
    <row r="489" spans="3:12" ht="15.75" customHeight="1" x14ac:dyDescent="0.25">
      <c r="C489" s="120"/>
      <c r="D489" s="120"/>
      <c r="E489" s="120"/>
      <c r="L489" s="56"/>
    </row>
    <row r="490" spans="3:12" ht="15.75" customHeight="1" x14ac:dyDescent="0.25">
      <c r="C490" s="120"/>
      <c r="D490" s="120"/>
      <c r="E490" s="120"/>
      <c r="L490" s="56"/>
    </row>
    <row r="491" spans="3:12" ht="15.75" customHeight="1" x14ac:dyDescent="0.25">
      <c r="C491" s="120"/>
      <c r="D491" s="120"/>
      <c r="E491" s="120"/>
      <c r="L491" s="56"/>
    </row>
    <row r="492" spans="3:12" ht="15.75" customHeight="1" x14ac:dyDescent="0.25">
      <c r="C492" s="120"/>
      <c r="D492" s="120"/>
      <c r="E492" s="120"/>
      <c r="L492" s="56"/>
    </row>
    <row r="493" spans="3:12" ht="15.75" customHeight="1" x14ac:dyDescent="0.25">
      <c r="C493" s="120"/>
      <c r="D493" s="120"/>
      <c r="E493" s="120"/>
      <c r="L493" s="56"/>
    </row>
    <row r="494" spans="3:12" ht="15.75" customHeight="1" x14ac:dyDescent="0.25">
      <c r="C494" s="120"/>
      <c r="D494" s="120"/>
      <c r="E494" s="120"/>
      <c r="L494" s="56"/>
    </row>
    <row r="495" spans="3:12" ht="15.75" customHeight="1" x14ac:dyDescent="0.25">
      <c r="C495" s="120"/>
      <c r="D495" s="120"/>
      <c r="E495" s="120"/>
      <c r="L495" s="56"/>
    </row>
    <row r="496" spans="3:12" ht="15.75" customHeight="1" x14ac:dyDescent="0.25">
      <c r="C496" s="120"/>
      <c r="D496" s="120"/>
      <c r="E496" s="120"/>
      <c r="L496" s="56"/>
    </row>
    <row r="497" spans="3:12" ht="15.75" customHeight="1" x14ac:dyDescent="0.25">
      <c r="C497" s="120"/>
      <c r="D497" s="120"/>
      <c r="E497" s="120"/>
      <c r="L497" s="56"/>
    </row>
    <row r="498" spans="3:12" ht="15.75" customHeight="1" x14ac:dyDescent="0.25">
      <c r="C498" s="120"/>
      <c r="D498" s="120"/>
      <c r="E498" s="120"/>
      <c r="L498" s="56"/>
    </row>
    <row r="499" spans="3:12" ht="15.75" customHeight="1" x14ac:dyDescent="0.25">
      <c r="C499" s="120"/>
      <c r="D499" s="120"/>
      <c r="E499" s="120"/>
      <c r="L499" s="56"/>
    </row>
    <row r="500" spans="3:12" ht="15.75" customHeight="1" x14ac:dyDescent="0.25">
      <c r="C500" s="120"/>
      <c r="D500" s="120"/>
      <c r="E500" s="120"/>
      <c r="L500" s="56"/>
    </row>
    <row r="501" spans="3:12" ht="15.75" customHeight="1" x14ac:dyDescent="0.25">
      <c r="C501" s="120"/>
      <c r="D501" s="120"/>
      <c r="E501" s="120"/>
      <c r="L501" s="56"/>
    </row>
    <row r="502" spans="3:12" ht="15.75" customHeight="1" x14ac:dyDescent="0.25">
      <c r="C502" s="120"/>
      <c r="D502" s="120"/>
      <c r="E502" s="120"/>
      <c r="L502" s="56"/>
    </row>
    <row r="503" spans="3:12" ht="15.75" customHeight="1" x14ac:dyDescent="0.25">
      <c r="C503" s="120"/>
      <c r="D503" s="120"/>
      <c r="E503" s="120"/>
      <c r="L503" s="56"/>
    </row>
    <row r="504" spans="3:12" ht="15.75" customHeight="1" x14ac:dyDescent="0.25">
      <c r="C504" s="120"/>
      <c r="D504" s="120"/>
      <c r="E504" s="120"/>
      <c r="L504" s="56"/>
    </row>
    <row r="505" spans="3:12" ht="15.75" customHeight="1" x14ac:dyDescent="0.25">
      <c r="C505" s="120"/>
      <c r="D505" s="120"/>
      <c r="E505" s="120"/>
      <c r="L505" s="56"/>
    </row>
    <row r="506" spans="3:12" ht="15.75" customHeight="1" x14ac:dyDescent="0.25">
      <c r="C506" s="120"/>
      <c r="D506" s="120"/>
      <c r="E506" s="120"/>
      <c r="L506" s="56"/>
    </row>
    <row r="507" spans="3:12" ht="15.75" customHeight="1" x14ac:dyDescent="0.25">
      <c r="C507" s="120"/>
      <c r="D507" s="120"/>
      <c r="E507" s="120"/>
      <c r="L507" s="56"/>
    </row>
    <row r="508" spans="3:12" ht="15.75" customHeight="1" x14ac:dyDescent="0.25">
      <c r="C508" s="120"/>
      <c r="D508" s="120"/>
      <c r="E508" s="120"/>
      <c r="L508" s="56"/>
    </row>
    <row r="509" spans="3:12" ht="15.75" customHeight="1" x14ac:dyDescent="0.25">
      <c r="C509" s="120"/>
      <c r="D509" s="120"/>
      <c r="E509" s="120"/>
      <c r="L509" s="56"/>
    </row>
    <row r="510" spans="3:12" ht="15.75" customHeight="1" x14ac:dyDescent="0.25">
      <c r="C510" s="120"/>
      <c r="D510" s="120"/>
      <c r="E510" s="120"/>
      <c r="L510" s="56"/>
    </row>
    <row r="511" spans="3:12" ht="15.75" customHeight="1" x14ac:dyDescent="0.25">
      <c r="C511" s="120"/>
      <c r="D511" s="120"/>
      <c r="E511" s="120"/>
      <c r="L511" s="56"/>
    </row>
    <row r="512" spans="3:12" ht="15.75" customHeight="1" x14ac:dyDescent="0.25">
      <c r="C512" s="120"/>
      <c r="D512" s="120"/>
      <c r="E512" s="120"/>
      <c r="L512" s="56"/>
    </row>
    <row r="513" spans="3:12" ht="15.75" customHeight="1" x14ac:dyDescent="0.25">
      <c r="C513" s="120"/>
      <c r="D513" s="120"/>
      <c r="E513" s="120"/>
      <c r="L513" s="56"/>
    </row>
    <row r="514" spans="3:12" ht="15.75" customHeight="1" x14ac:dyDescent="0.25">
      <c r="C514" s="120"/>
      <c r="D514" s="120"/>
      <c r="E514" s="120"/>
      <c r="L514" s="56"/>
    </row>
    <row r="515" spans="3:12" ht="15.75" customHeight="1" x14ac:dyDescent="0.25">
      <c r="C515" s="120"/>
      <c r="D515" s="120"/>
      <c r="E515" s="120"/>
      <c r="L515" s="56"/>
    </row>
    <row r="516" spans="3:12" ht="15.75" customHeight="1" x14ac:dyDescent="0.25">
      <c r="C516" s="120"/>
      <c r="D516" s="120"/>
      <c r="E516" s="120"/>
      <c r="L516" s="56"/>
    </row>
    <row r="517" spans="3:12" ht="15.75" customHeight="1" x14ac:dyDescent="0.25">
      <c r="C517" s="120"/>
      <c r="D517" s="120"/>
      <c r="E517" s="120"/>
      <c r="L517" s="56"/>
    </row>
    <row r="518" spans="3:12" ht="15.75" customHeight="1" x14ac:dyDescent="0.25">
      <c r="C518" s="120"/>
      <c r="D518" s="120"/>
      <c r="E518" s="120"/>
      <c r="L518" s="56"/>
    </row>
    <row r="519" spans="3:12" ht="15.75" customHeight="1" x14ac:dyDescent="0.25">
      <c r="C519" s="120"/>
      <c r="D519" s="120"/>
      <c r="E519" s="120"/>
      <c r="L519" s="56"/>
    </row>
    <row r="520" spans="3:12" ht="15.75" customHeight="1" x14ac:dyDescent="0.25">
      <c r="C520" s="120"/>
      <c r="D520" s="120"/>
      <c r="E520" s="120"/>
      <c r="L520" s="56"/>
    </row>
    <row r="521" spans="3:12" ht="15.75" customHeight="1" x14ac:dyDescent="0.25">
      <c r="C521" s="120"/>
      <c r="D521" s="120"/>
      <c r="E521" s="120"/>
      <c r="L521" s="56"/>
    </row>
    <row r="522" spans="3:12" ht="15.75" customHeight="1" x14ac:dyDescent="0.25">
      <c r="C522" s="120"/>
      <c r="D522" s="120"/>
      <c r="E522" s="120"/>
      <c r="L522" s="56"/>
    </row>
    <row r="523" spans="3:12" ht="15.75" customHeight="1" x14ac:dyDescent="0.25">
      <c r="C523" s="120"/>
      <c r="D523" s="120"/>
      <c r="E523" s="120"/>
      <c r="L523" s="56"/>
    </row>
    <row r="524" spans="3:12" ht="15.75" customHeight="1" x14ac:dyDescent="0.25">
      <c r="C524" s="120"/>
      <c r="D524" s="120"/>
      <c r="E524" s="120"/>
      <c r="L524" s="56"/>
    </row>
    <row r="525" spans="3:12" ht="15.75" customHeight="1" x14ac:dyDescent="0.25">
      <c r="C525" s="120"/>
      <c r="D525" s="120"/>
      <c r="E525" s="120"/>
      <c r="L525" s="56"/>
    </row>
    <row r="526" spans="3:12" ht="15.75" customHeight="1" x14ac:dyDescent="0.25">
      <c r="C526" s="120"/>
      <c r="D526" s="120"/>
      <c r="E526" s="120"/>
      <c r="L526" s="56"/>
    </row>
    <row r="527" spans="3:12" ht="15.75" customHeight="1" x14ac:dyDescent="0.25">
      <c r="C527" s="120"/>
      <c r="D527" s="120"/>
      <c r="E527" s="120"/>
      <c r="L527" s="56"/>
    </row>
    <row r="528" spans="3:12" ht="15.75" customHeight="1" x14ac:dyDescent="0.25">
      <c r="C528" s="120"/>
      <c r="D528" s="120"/>
      <c r="E528" s="120"/>
      <c r="L528" s="56"/>
    </row>
    <row r="529" spans="3:12" ht="15.75" customHeight="1" x14ac:dyDescent="0.25">
      <c r="C529" s="120"/>
      <c r="D529" s="120"/>
      <c r="E529" s="120"/>
      <c r="L529" s="56"/>
    </row>
    <row r="530" spans="3:12" ht="15.75" customHeight="1" x14ac:dyDescent="0.25">
      <c r="C530" s="120"/>
      <c r="D530" s="120"/>
      <c r="E530" s="120"/>
      <c r="L530" s="56"/>
    </row>
    <row r="531" spans="3:12" ht="15.75" customHeight="1" x14ac:dyDescent="0.25">
      <c r="C531" s="120"/>
      <c r="D531" s="120"/>
      <c r="E531" s="120"/>
      <c r="L531" s="56"/>
    </row>
    <row r="532" spans="3:12" ht="15.75" customHeight="1" x14ac:dyDescent="0.25">
      <c r="C532" s="120"/>
      <c r="D532" s="120"/>
      <c r="E532" s="120"/>
      <c r="L532" s="56"/>
    </row>
    <row r="533" spans="3:12" ht="15.75" customHeight="1" x14ac:dyDescent="0.25">
      <c r="C533" s="120"/>
      <c r="D533" s="120"/>
      <c r="E533" s="120"/>
      <c r="L533" s="56"/>
    </row>
    <row r="534" spans="3:12" ht="15.75" customHeight="1" x14ac:dyDescent="0.25">
      <c r="C534" s="120"/>
      <c r="D534" s="120"/>
      <c r="E534" s="120"/>
      <c r="L534" s="56"/>
    </row>
    <row r="535" spans="3:12" ht="15.75" customHeight="1" x14ac:dyDescent="0.25">
      <c r="C535" s="120"/>
      <c r="D535" s="120"/>
      <c r="E535" s="120"/>
      <c r="L535" s="56"/>
    </row>
    <row r="536" spans="3:12" ht="15.75" customHeight="1" x14ac:dyDescent="0.25">
      <c r="C536" s="120"/>
      <c r="D536" s="120"/>
      <c r="E536" s="120"/>
      <c r="L536" s="56"/>
    </row>
    <row r="537" spans="3:12" ht="15.75" customHeight="1" x14ac:dyDescent="0.25">
      <c r="C537" s="120"/>
      <c r="D537" s="120"/>
      <c r="E537" s="120"/>
      <c r="L537" s="56"/>
    </row>
    <row r="538" spans="3:12" ht="15.75" customHeight="1" x14ac:dyDescent="0.25">
      <c r="C538" s="120"/>
      <c r="D538" s="120"/>
      <c r="E538" s="120"/>
      <c r="L538" s="56"/>
    </row>
    <row r="539" spans="3:12" ht="15.75" customHeight="1" x14ac:dyDescent="0.25">
      <c r="C539" s="120"/>
      <c r="D539" s="120"/>
      <c r="E539" s="120"/>
      <c r="L539" s="56"/>
    </row>
    <row r="540" spans="3:12" ht="15.75" customHeight="1" x14ac:dyDescent="0.25">
      <c r="C540" s="120"/>
      <c r="D540" s="120"/>
      <c r="E540" s="120"/>
      <c r="L540" s="56"/>
    </row>
    <row r="541" spans="3:12" ht="15.75" customHeight="1" x14ac:dyDescent="0.25">
      <c r="C541" s="120"/>
      <c r="D541" s="120"/>
      <c r="E541" s="120"/>
      <c r="L541" s="56"/>
    </row>
    <row r="542" spans="3:12" ht="15.75" customHeight="1" x14ac:dyDescent="0.25">
      <c r="C542" s="120"/>
      <c r="D542" s="120"/>
      <c r="E542" s="120"/>
      <c r="L542" s="56"/>
    </row>
    <row r="543" spans="3:12" ht="15.75" customHeight="1" x14ac:dyDescent="0.25">
      <c r="C543" s="120"/>
      <c r="D543" s="120"/>
      <c r="E543" s="120"/>
      <c r="L543" s="56"/>
    </row>
    <row r="544" spans="3:12" ht="15.75" customHeight="1" x14ac:dyDescent="0.25">
      <c r="C544" s="120"/>
      <c r="D544" s="120"/>
      <c r="E544" s="120"/>
      <c r="L544" s="56"/>
    </row>
    <row r="545" spans="3:12" ht="15.75" customHeight="1" x14ac:dyDescent="0.25">
      <c r="C545" s="120"/>
      <c r="D545" s="120"/>
      <c r="E545" s="120"/>
      <c r="L545" s="56"/>
    </row>
    <row r="546" spans="3:12" ht="15.75" customHeight="1" x14ac:dyDescent="0.25">
      <c r="C546" s="120"/>
      <c r="D546" s="120"/>
      <c r="E546" s="120"/>
      <c r="L546" s="56"/>
    </row>
    <row r="547" spans="3:12" ht="15.75" customHeight="1" x14ac:dyDescent="0.25">
      <c r="C547" s="120"/>
      <c r="D547" s="120"/>
      <c r="E547" s="120"/>
      <c r="L547" s="56"/>
    </row>
    <row r="548" spans="3:12" ht="15.75" customHeight="1" x14ac:dyDescent="0.25">
      <c r="C548" s="120"/>
      <c r="D548" s="120"/>
      <c r="E548" s="120"/>
      <c r="L548" s="56"/>
    </row>
    <row r="549" spans="3:12" ht="15.75" customHeight="1" x14ac:dyDescent="0.25">
      <c r="C549" s="120"/>
      <c r="D549" s="120"/>
      <c r="E549" s="120"/>
      <c r="L549" s="56"/>
    </row>
    <row r="550" spans="3:12" ht="15.75" customHeight="1" x14ac:dyDescent="0.25">
      <c r="C550" s="120"/>
      <c r="D550" s="120"/>
      <c r="E550" s="120"/>
      <c r="L550" s="56"/>
    </row>
    <row r="551" spans="3:12" ht="15.75" customHeight="1" x14ac:dyDescent="0.25">
      <c r="C551" s="120"/>
      <c r="D551" s="120"/>
      <c r="E551" s="120"/>
      <c r="L551" s="56"/>
    </row>
    <row r="552" spans="3:12" ht="15.75" customHeight="1" x14ac:dyDescent="0.25">
      <c r="C552" s="120"/>
      <c r="D552" s="120"/>
      <c r="E552" s="120"/>
      <c r="L552" s="56"/>
    </row>
    <row r="553" spans="3:12" ht="15.75" customHeight="1" x14ac:dyDescent="0.25">
      <c r="C553" s="120"/>
      <c r="D553" s="120"/>
      <c r="E553" s="120"/>
      <c r="L553" s="56"/>
    </row>
    <row r="554" spans="3:12" ht="15.75" customHeight="1" x14ac:dyDescent="0.25">
      <c r="C554" s="120"/>
      <c r="D554" s="120"/>
      <c r="E554" s="120"/>
      <c r="L554" s="56"/>
    </row>
    <row r="555" spans="3:12" ht="15.75" customHeight="1" x14ac:dyDescent="0.25">
      <c r="C555" s="120"/>
      <c r="D555" s="120"/>
      <c r="E555" s="120"/>
      <c r="L555" s="56"/>
    </row>
    <row r="556" spans="3:12" ht="15.75" customHeight="1" x14ac:dyDescent="0.25">
      <c r="C556" s="120"/>
      <c r="D556" s="120"/>
      <c r="E556" s="120"/>
      <c r="L556" s="56"/>
    </row>
    <row r="557" spans="3:12" ht="15.75" customHeight="1" x14ac:dyDescent="0.25">
      <c r="C557" s="120"/>
      <c r="D557" s="120"/>
      <c r="E557" s="120"/>
      <c r="L557" s="56"/>
    </row>
    <row r="558" spans="3:12" ht="15.75" customHeight="1" x14ac:dyDescent="0.25">
      <c r="C558" s="120"/>
      <c r="D558" s="120"/>
      <c r="E558" s="120"/>
      <c r="L558" s="56"/>
    </row>
    <row r="559" spans="3:12" ht="15.75" customHeight="1" x14ac:dyDescent="0.25">
      <c r="C559" s="120"/>
      <c r="D559" s="120"/>
      <c r="E559" s="120"/>
      <c r="L559" s="56"/>
    </row>
    <row r="560" spans="3:12" ht="15.75" customHeight="1" x14ac:dyDescent="0.25">
      <c r="C560" s="120"/>
      <c r="D560" s="120"/>
      <c r="E560" s="120"/>
      <c r="L560" s="56"/>
    </row>
    <row r="561" spans="3:12" ht="15.75" customHeight="1" x14ac:dyDescent="0.25">
      <c r="C561" s="120"/>
      <c r="D561" s="120"/>
      <c r="E561" s="120"/>
      <c r="L561" s="56"/>
    </row>
    <row r="562" spans="3:12" ht="15.75" customHeight="1" x14ac:dyDescent="0.25">
      <c r="C562" s="120"/>
      <c r="D562" s="120"/>
      <c r="E562" s="120"/>
      <c r="L562" s="56"/>
    </row>
    <row r="563" spans="3:12" ht="15.75" customHeight="1" x14ac:dyDescent="0.25">
      <c r="C563" s="120"/>
      <c r="D563" s="120"/>
      <c r="E563" s="120"/>
      <c r="L563" s="56"/>
    </row>
    <row r="564" spans="3:12" ht="15.75" customHeight="1" x14ac:dyDescent="0.25">
      <c r="C564" s="120"/>
      <c r="D564" s="120"/>
      <c r="E564" s="120"/>
      <c r="L564" s="56"/>
    </row>
    <row r="565" spans="3:12" ht="15.75" customHeight="1" x14ac:dyDescent="0.25">
      <c r="C565" s="120"/>
      <c r="D565" s="120"/>
      <c r="E565" s="120"/>
      <c r="L565" s="56"/>
    </row>
    <row r="566" spans="3:12" ht="15.75" customHeight="1" x14ac:dyDescent="0.25">
      <c r="C566" s="120"/>
      <c r="D566" s="120"/>
      <c r="E566" s="120"/>
      <c r="L566" s="56"/>
    </row>
    <row r="567" spans="3:12" ht="15.75" customHeight="1" x14ac:dyDescent="0.25">
      <c r="C567" s="120"/>
      <c r="D567" s="120"/>
      <c r="E567" s="120"/>
      <c r="L567" s="56"/>
    </row>
    <row r="568" spans="3:12" ht="15.75" customHeight="1" x14ac:dyDescent="0.25">
      <c r="C568" s="120"/>
      <c r="D568" s="120"/>
      <c r="E568" s="120"/>
      <c r="L568" s="56"/>
    </row>
    <row r="569" spans="3:12" ht="15.75" customHeight="1" x14ac:dyDescent="0.25">
      <c r="C569" s="120"/>
      <c r="D569" s="120"/>
      <c r="E569" s="120"/>
      <c r="L569" s="56"/>
    </row>
    <row r="570" spans="3:12" ht="15.75" customHeight="1" x14ac:dyDescent="0.25">
      <c r="C570" s="120"/>
      <c r="D570" s="120"/>
      <c r="E570" s="120"/>
      <c r="L570" s="56"/>
    </row>
    <row r="571" spans="3:12" ht="15.75" customHeight="1" x14ac:dyDescent="0.25">
      <c r="C571" s="120"/>
      <c r="D571" s="120"/>
      <c r="E571" s="120"/>
      <c r="L571" s="56"/>
    </row>
    <row r="572" spans="3:12" ht="15.75" customHeight="1" x14ac:dyDescent="0.25">
      <c r="C572" s="120"/>
      <c r="D572" s="120"/>
      <c r="E572" s="120"/>
      <c r="L572" s="56"/>
    </row>
    <row r="573" spans="3:12" ht="15.75" customHeight="1" x14ac:dyDescent="0.25">
      <c r="C573" s="120"/>
      <c r="D573" s="120"/>
      <c r="E573" s="120"/>
      <c r="L573" s="56"/>
    </row>
    <row r="574" spans="3:12" ht="15.75" customHeight="1" x14ac:dyDescent="0.25">
      <c r="C574" s="120"/>
      <c r="D574" s="120"/>
      <c r="E574" s="120"/>
      <c r="L574" s="56"/>
    </row>
    <row r="575" spans="3:12" ht="15.75" customHeight="1" x14ac:dyDescent="0.25">
      <c r="C575" s="120"/>
      <c r="D575" s="120"/>
      <c r="E575" s="120"/>
      <c r="L575" s="56"/>
    </row>
    <row r="576" spans="3:12" ht="15.75" customHeight="1" x14ac:dyDescent="0.25">
      <c r="C576" s="120"/>
      <c r="D576" s="120"/>
      <c r="E576" s="120"/>
      <c r="L576" s="56"/>
    </row>
    <row r="577" spans="3:12" ht="15.75" customHeight="1" x14ac:dyDescent="0.25">
      <c r="C577" s="120"/>
      <c r="D577" s="120"/>
      <c r="E577" s="120"/>
      <c r="L577" s="56"/>
    </row>
    <row r="578" spans="3:12" ht="15.75" customHeight="1" x14ac:dyDescent="0.25">
      <c r="C578" s="120"/>
      <c r="D578" s="120"/>
      <c r="E578" s="120"/>
      <c r="L578" s="56"/>
    </row>
    <row r="579" spans="3:12" ht="15.75" customHeight="1" x14ac:dyDescent="0.25">
      <c r="C579" s="120"/>
      <c r="D579" s="120"/>
      <c r="E579" s="120"/>
      <c r="L579" s="56"/>
    </row>
    <row r="580" spans="3:12" ht="15.75" customHeight="1" x14ac:dyDescent="0.25">
      <c r="C580" s="120"/>
      <c r="D580" s="120"/>
      <c r="E580" s="120"/>
      <c r="L580" s="56"/>
    </row>
    <row r="581" spans="3:12" ht="15.75" customHeight="1" x14ac:dyDescent="0.25">
      <c r="C581" s="120"/>
      <c r="D581" s="120"/>
      <c r="E581" s="120"/>
      <c r="L581" s="56"/>
    </row>
    <row r="582" spans="3:12" ht="15.75" customHeight="1" x14ac:dyDescent="0.25">
      <c r="C582" s="120"/>
      <c r="D582" s="120"/>
      <c r="E582" s="120"/>
      <c r="L582" s="56"/>
    </row>
    <row r="583" spans="3:12" ht="15.75" customHeight="1" x14ac:dyDescent="0.25">
      <c r="C583" s="120"/>
      <c r="D583" s="120"/>
      <c r="E583" s="120"/>
      <c r="L583" s="56"/>
    </row>
    <row r="584" spans="3:12" ht="15.75" customHeight="1" x14ac:dyDescent="0.25">
      <c r="C584" s="120"/>
      <c r="D584" s="120"/>
      <c r="E584" s="120"/>
      <c r="L584" s="56"/>
    </row>
    <row r="585" spans="3:12" ht="15.75" customHeight="1" x14ac:dyDescent="0.25">
      <c r="C585" s="120"/>
      <c r="D585" s="120"/>
      <c r="E585" s="120"/>
      <c r="L585" s="56"/>
    </row>
    <row r="586" spans="3:12" ht="15.75" customHeight="1" x14ac:dyDescent="0.25">
      <c r="C586" s="120"/>
      <c r="D586" s="120"/>
      <c r="E586" s="120"/>
      <c r="L586" s="56"/>
    </row>
    <row r="587" spans="3:12" ht="15.75" customHeight="1" x14ac:dyDescent="0.25">
      <c r="C587" s="120"/>
      <c r="D587" s="120"/>
      <c r="E587" s="120"/>
      <c r="L587" s="56"/>
    </row>
    <row r="588" spans="3:12" ht="15.75" customHeight="1" x14ac:dyDescent="0.25">
      <c r="C588" s="120"/>
      <c r="D588" s="120"/>
      <c r="E588" s="120"/>
      <c r="L588" s="56"/>
    </row>
    <row r="589" spans="3:12" ht="15.75" customHeight="1" x14ac:dyDescent="0.25">
      <c r="C589" s="120"/>
      <c r="D589" s="120"/>
      <c r="E589" s="120"/>
      <c r="L589" s="56"/>
    </row>
    <row r="590" spans="3:12" ht="15.75" customHeight="1" x14ac:dyDescent="0.25">
      <c r="C590" s="120"/>
      <c r="D590" s="120"/>
      <c r="E590" s="120"/>
      <c r="L590" s="56"/>
    </row>
    <row r="591" spans="3:12" ht="15.75" customHeight="1" x14ac:dyDescent="0.25">
      <c r="C591" s="120"/>
      <c r="D591" s="120"/>
      <c r="E591" s="120"/>
      <c r="L591" s="56"/>
    </row>
    <row r="592" spans="3:12" ht="15.75" customHeight="1" x14ac:dyDescent="0.25">
      <c r="C592" s="120"/>
      <c r="D592" s="120"/>
      <c r="E592" s="120"/>
      <c r="L592" s="56"/>
    </row>
    <row r="593" spans="3:12" ht="15.75" customHeight="1" x14ac:dyDescent="0.25">
      <c r="C593" s="120"/>
      <c r="D593" s="120"/>
      <c r="E593" s="120"/>
      <c r="L593" s="56"/>
    </row>
    <row r="594" spans="3:12" ht="15.75" customHeight="1" x14ac:dyDescent="0.25">
      <c r="C594" s="120"/>
      <c r="D594" s="120"/>
      <c r="E594" s="120"/>
      <c r="L594" s="56"/>
    </row>
    <row r="595" spans="3:12" ht="15.75" customHeight="1" x14ac:dyDescent="0.25">
      <c r="C595" s="120"/>
      <c r="D595" s="120"/>
      <c r="E595" s="120"/>
      <c r="L595" s="56"/>
    </row>
    <row r="596" spans="3:12" ht="15.75" customHeight="1" x14ac:dyDescent="0.25">
      <c r="C596" s="120"/>
      <c r="D596" s="120"/>
      <c r="E596" s="120"/>
      <c r="L596" s="56"/>
    </row>
    <row r="597" spans="3:12" ht="15.75" customHeight="1" x14ac:dyDescent="0.25">
      <c r="C597" s="120"/>
      <c r="D597" s="120"/>
      <c r="E597" s="120"/>
      <c r="L597" s="56"/>
    </row>
    <row r="598" spans="3:12" ht="15.75" customHeight="1" x14ac:dyDescent="0.25">
      <c r="C598" s="120"/>
      <c r="D598" s="120"/>
      <c r="E598" s="120"/>
      <c r="L598" s="56"/>
    </row>
    <row r="599" spans="3:12" ht="15.75" customHeight="1" x14ac:dyDescent="0.25">
      <c r="C599" s="120"/>
      <c r="D599" s="120"/>
      <c r="E599" s="120"/>
      <c r="L599" s="56"/>
    </row>
    <row r="600" spans="3:12" ht="15.75" customHeight="1" x14ac:dyDescent="0.25">
      <c r="C600" s="120"/>
      <c r="D600" s="120"/>
      <c r="E600" s="120"/>
      <c r="L600" s="56"/>
    </row>
    <row r="601" spans="3:12" ht="15.75" customHeight="1" x14ac:dyDescent="0.25">
      <c r="C601" s="120"/>
      <c r="D601" s="120"/>
      <c r="E601" s="120"/>
      <c r="L601" s="56"/>
    </row>
    <row r="602" spans="3:12" ht="15.75" customHeight="1" x14ac:dyDescent="0.25">
      <c r="C602" s="120"/>
      <c r="D602" s="120"/>
      <c r="E602" s="120"/>
      <c r="L602" s="56"/>
    </row>
    <row r="603" spans="3:12" ht="15.75" customHeight="1" x14ac:dyDescent="0.25">
      <c r="C603" s="120"/>
      <c r="D603" s="120"/>
      <c r="E603" s="120"/>
      <c r="L603" s="56"/>
    </row>
    <row r="604" spans="3:12" ht="15.75" customHeight="1" x14ac:dyDescent="0.25">
      <c r="C604" s="120"/>
      <c r="D604" s="120"/>
      <c r="E604" s="120"/>
      <c r="L604" s="56"/>
    </row>
    <row r="605" spans="3:12" ht="15.75" customHeight="1" x14ac:dyDescent="0.25">
      <c r="C605" s="120"/>
      <c r="D605" s="120"/>
      <c r="E605" s="120"/>
      <c r="L605" s="56"/>
    </row>
    <row r="606" spans="3:12" ht="15.75" customHeight="1" x14ac:dyDescent="0.25">
      <c r="C606" s="120"/>
      <c r="D606" s="120"/>
      <c r="E606" s="120"/>
      <c r="L606" s="56"/>
    </row>
    <row r="607" spans="3:12" ht="15.75" customHeight="1" x14ac:dyDescent="0.25">
      <c r="C607" s="120"/>
      <c r="D607" s="120"/>
      <c r="E607" s="120"/>
      <c r="L607" s="56"/>
    </row>
    <row r="608" spans="3:12" ht="15.75" customHeight="1" x14ac:dyDescent="0.25">
      <c r="C608" s="120"/>
      <c r="D608" s="120"/>
      <c r="E608" s="120"/>
      <c r="L608" s="56"/>
    </row>
    <row r="609" spans="3:12" ht="15.75" customHeight="1" x14ac:dyDescent="0.25">
      <c r="C609" s="120"/>
      <c r="D609" s="120"/>
      <c r="E609" s="120"/>
      <c r="L609" s="56"/>
    </row>
    <row r="610" spans="3:12" ht="15.75" customHeight="1" x14ac:dyDescent="0.25">
      <c r="C610" s="120"/>
      <c r="D610" s="120"/>
      <c r="E610" s="120"/>
      <c r="L610" s="56"/>
    </row>
    <row r="611" spans="3:12" ht="15.75" customHeight="1" x14ac:dyDescent="0.25">
      <c r="C611" s="120"/>
      <c r="D611" s="120"/>
      <c r="E611" s="120"/>
      <c r="L611" s="56"/>
    </row>
    <row r="612" spans="3:12" ht="15.75" customHeight="1" x14ac:dyDescent="0.25">
      <c r="C612" s="120"/>
      <c r="D612" s="120"/>
      <c r="E612" s="120"/>
      <c r="L612" s="56"/>
    </row>
    <row r="613" spans="3:12" ht="15.75" customHeight="1" x14ac:dyDescent="0.25">
      <c r="C613" s="120"/>
      <c r="D613" s="120"/>
      <c r="E613" s="120"/>
      <c r="L613" s="56"/>
    </row>
    <row r="614" spans="3:12" ht="15.75" customHeight="1" x14ac:dyDescent="0.25">
      <c r="C614" s="120"/>
      <c r="D614" s="120"/>
      <c r="E614" s="120"/>
      <c r="L614" s="56"/>
    </row>
    <row r="615" spans="3:12" ht="15.75" customHeight="1" x14ac:dyDescent="0.25">
      <c r="C615" s="120"/>
      <c r="D615" s="120"/>
      <c r="E615" s="120"/>
      <c r="L615" s="56"/>
    </row>
    <row r="616" spans="3:12" ht="15.75" customHeight="1" x14ac:dyDescent="0.25">
      <c r="C616" s="120"/>
      <c r="D616" s="120"/>
      <c r="E616" s="120"/>
      <c r="L616" s="56"/>
    </row>
    <row r="617" spans="3:12" ht="15.75" customHeight="1" x14ac:dyDescent="0.25">
      <c r="C617" s="120"/>
      <c r="D617" s="120"/>
      <c r="E617" s="120"/>
      <c r="L617" s="56"/>
    </row>
    <row r="618" spans="3:12" ht="15.75" customHeight="1" x14ac:dyDescent="0.25">
      <c r="C618" s="120"/>
      <c r="D618" s="120"/>
      <c r="E618" s="120"/>
      <c r="L618" s="56"/>
    </row>
    <row r="619" spans="3:12" ht="15.75" customHeight="1" x14ac:dyDescent="0.25">
      <c r="C619" s="120"/>
      <c r="D619" s="120"/>
      <c r="E619" s="120"/>
      <c r="L619" s="56"/>
    </row>
    <row r="620" spans="3:12" ht="15.75" customHeight="1" x14ac:dyDescent="0.25">
      <c r="C620" s="120"/>
      <c r="D620" s="120"/>
      <c r="E620" s="120"/>
      <c r="L620" s="56"/>
    </row>
    <row r="621" spans="3:12" ht="15.75" customHeight="1" x14ac:dyDescent="0.25">
      <c r="C621" s="120"/>
      <c r="D621" s="120"/>
      <c r="E621" s="120"/>
      <c r="L621" s="56"/>
    </row>
    <row r="622" spans="3:12" ht="15.75" customHeight="1" x14ac:dyDescent="0.25">
      <c r="C622" s="120"/>
      <c r="D622" s="120"/>
      <c r="E622" s="120"/>
      <c r="L622" s="56"/>
    </row>
    <row r="623" spans="3:12" ht="15.75" customHeight="1" x14ac:dyDescent="0.25">
      <c r="C623" s="120"/>
      <c r="D623" s="120"/>
      <c r="E623" s="120"/>
      <c r="L623" s="56"/>
    </row>
    <row r="624" spans="3:12" ht="15.75" customHeight="1" x14ac:dyDescent="0.25">
      <c r="C624" s="120"/>
      <c r="D624" s="120"/>
      <c r="E624" s="120"/>
      <c r="L624" s="56"/>
    </row>
    <row r="625" spans="3:12" ht="15.75" customHeight="1" x14ac:dyDescent="0.25">
      <c r="C625" s="120"/>
      <c r="D625" s="120"/>
      <c r="E625" s="120"/>
      <c r="L625" s="56"/>
    </row>
    <row r="626" spans="3:12" ht="15.75" customHeight="1" x14ac:dyDescent="0.25">
      <c r="C626" s="120"/>
      <c r="D626" s="120"/>
      <c r="E626" s="120"/>
      <c r="L626" s="56"/>
    </row>
    <row r="627" spans="3:12" ht="15.75" customHeight="1" x14ac:dyDescent="0.25">
      <c r="C627" s="120"/>
      <c r="D627" s="120"/>
      <c r="E627" s="120"/>
      <c r="L627" s="56"/>
    </row>
    <row r="628" spans="3:12" ht="15.75" customHeight="1" x14ac:dyDescent="0.25">
      <c r="C628" s="120"/>
      <c r="D628" s="120"/>
      <c r="E628" s="120"/>
      <c r="L628" s="56"/>
    </row>
    <row r="629" spans="3:12" ht="15.75" customHeight="1" x14ac:dyDescent="0.25">
      <c r="C629" s="120"/>
      <c r="D629" s="120"/>
      <c r="E629" s="120"/>
      <c r="L629" s="56"/>
    </row>
    <row r="630" spans="3:12" ht="15.75" customHeight="1" x14ac:dyDescent="0.25">
      <c r="C630" s="120"/>
      <c r="D630" s="120"/>
      <c r="E630" s="120"/>
      <c r="L630" s="56"/>
    </row>
    <row r="631" spans="3:12" ht="15.75" customHeight="1" x14ac:dyDescent="0.25">
      <c r="C631" s="120"/>
      <c r="D631" s="120"/>
      <c r="E631" s="120"/>
      <c r="L631" s="56"/>
    </row>
    <row r="632" spans="3:12" ht="15.75" customHeight="1" x14ac:dyDescent="0.25">
      <c r="C632" s="120"/>
      <c r="D632" s="120"/>
      <c r="E632" s="120"/>
      <c r="L632" s="56"/>
    </row>
    <row r="633" spans="3:12" ht="15.75" customHeight="1" x14ac:dyDescent="0.25">
      <c r="C633" s="120"/>
      <c r="D633" s="120"/>
      <c r="E633" s="120"/>
      <c r="L633" s="56"/>
    </row>
    <row r="634" spans="3:12" ht="15.75" customHeight="1" x14ac:dyDescent="0.25">
      <c r="C634" s="120"/>
      <c r="D634" s="120"/>
      <c r="E634" s="120"/>
      <c r="L634" s="56"/>
    </row>
    <row r="635" spans="3:12" ht="15.75" customHeight="1" x14ac:dyDescent="0.25">
      <c r="C635" s="120"/>
      <c r="D635" s="120"/>
      <c r="E635" s="120"/>
      <c r="L635" s="56"/>
    </row>
    <row r="636" spans="3:12" ht="15.75" customHeight="1" x14ac:dyDescent="0.25">
      <c r="C636" s="120"/>
      <c r="D636" s="120"/>
      <c r="E636" s="120"/>
      <c r="L636" s="56"/>
    </row>
    <row r="637" spans="3:12" ht="15.75" customHeight="1" x14ac:dyDescent="0.25">
      <c r="C637" s="120"/>
      <c r="D637" s="120"/>
      <c r="E637" s="120"/>
      <c r="L637" s="56"/>
    </row>
    <row r="638" spans="3:12" ht="15.75" customHeight="1" x14ac:dyDescent="0.25">
      <c r="C638" s="120"/>
      <c r="D638" s="120"/>
      <c r="E638" s="120"/>
      <c r="L638" s="56"/>
    </row>
    <row r="639" spans="3:12" ht="15.75" customHeight="1" x14ac:dyDescent="0.25">
      <c r="C639" s="120"/>
      <c r="D639" s="120"/>
      <c r="E639" s="120"/>
      <c r="L639" s="56"/>
    </row>
    <row r="640" spans="3:12" ht="15.75" customHeight="1" x14ac:dyDescent="0.25">
      <c r="C640" s="120"/>
      <c r="D640" s="120"/>
      <c r="E640" s="120"/>
      <c r="L640" s="56"/>
    </row>
    <row r="641" spans="3:12" ht="15.75" customHeight="1" x14ac:dyDescent="0.25">
      <c r="C641" s="120"/>
      <c r="D641" s="120"/>
      <c r="E641" s="120"/>
      <c r="L641" s="56"/>
    </row>
    <row r="642" spans="3:12" ht="15.75" customHeight="1" x14ac:dyDescent="0.25">
      <c r="C642" s="120"/>
      <c r="D642" s="120"/>
      <c r="E642" s="120"/>
      <c r="L642" s="56"/>
    </row>
    <row r="643" spans="3:12" ht="15.75" customHeight="1" x14ac:dyDescent="0.25">
      <c r="C643" s="120"/>
      <c r="D643" s="120"/>
      <c r="E643" s="120"/>
      <c r="L643" s="56"/>
    </row>
    <row r="644" spans="3:12" ht="15.75" customHeight="1" x14ac:dyDescent="0.25">
      <c r="C644" s="120"/>
      <c r="D644" s="120"/>
      <c r="E644" s="120"/>
      <c r="L644" s="56"/>
    </row>
    <row r="645" spans="3:12" ht="15.75" customHeight="1" x14ac:dyDescent="0.25">
      <c r="C645" s="120"/>
      <c r="D645" s="120"/>
      <c r="E645" s="120"/>
      <c r="L645" s="56"/>
    </row>
    <row r="646" spans="3:12" ht="15.75" customHeight="1" x14ac:dyDescent="0.25">
      <c r="C646" s="120"/>
      <c r="D646" s="120"/>
      <c r="E646" s="120"/>
      <c r="L646" s="56"/>
    </row>
    <row r="647" spans="3:12" ht="15.75" customHeight="1" x14ac:dyDescent="0.25">
      <c r="C647" s="120"/>
      <c r="D647" s="120"/>
      <c r="E647" s="120"/>
      <c r="L647" s="56"/>
    </row>
    <row r="648" spans="3:12" ht="15.75" customHeight="1" x14ac:dyDescent="0.25">
      <c r="C648" s="120"/>
      <c r="D648" s="120"/>
      <c r="E648" s="120"/>
      <c r="L648" s="56"/>
    </row>
    <row r="649" spans="3:12" ht="15.75" customHeight="1" x14ac:dyDescent="0.25">
      <c r="C649" s="120"/>
      <c r="D649" s="120"/>
      <c r="E649" s="120"/>
      <c r="L649" s="56"/>
    </row>
    <row r="650" spans="3:12" ht="15.75" customHeight="1" x14ac:dyDescent="0.25">
      <c r="C650" s="120"/>
      <c r="D650" s="120"/>
      <c r="E650" s="120"/>
      <c r="L650" s="56"/>
    </row>
    <row r="651" spans="3:12" ht="15.75" customHeight="1" x14ac:dyDescent="0.25">
      <c r="C651" s="120"/>
      <c r="D651" s="120"/>
      <c r="E651" s="120"/>
      <c r="L651" s="56"/>
    </row>
    <row r="652" spans="3:12" ht="15.75" customHeight="1" x14ac:dyDescent="0.25">
      <c r="C652" s="120"/>
      <c r="D652" s="120"/>
      <c r="E652" s="120"/>
      <c r="L652" s="56"/>
    </row>
    <row r="653" spans="3:12" ht="15.75" customHeight="1" x14ac:dyDescent="0.25">
      <c r="C653" s="120"/>
      <c r="D653" s="120"/>
      <c r="E653" s="120"/>
      <c r="L653" s="56"/>
    </row>
    <row r="654" spans="3:12" ht="15.75" customHeight="1" x14ac:dyDescent="0.25">
      <c r="C654" s="120"/>
      <c r="D654" s="120"/>
      <c r="E654" s="120"/>
      <c r="L654" s="56"/>
    </row>
    <row r="655" spans="3:12" ht="15.75" customHeight="1" x14ac:dyDescent="0.25">
      <c r="C655" s="120"/>
      <c r="D655" s="120"/>
      <c r="E655" s="120"/>
      <c r="L655" s="56"/>
    </row>
    <row r="656" spans="3:12" ht="15.75" customHeight="1" x14ac:dyDescent="0.25">
      <c r="C656" s="120"/>
      <c r="D656" s="120"/>
      <c r="E656" s="120"/>
      <c r="L656" s="56"/>
    </row>
    <row r="657" spans="3:12" ht="15.75" customHeight="1" x14ac:dyDescent="0.25">
      <c r="C657" s="120"/>
      <c r="D657" s="120"/>
      <c r="E657" s="120"/>
      <c r="L657" s="56"/>
    </row>
    <row r="658" spans="3:12" ht="15.75" customHeight="1" x14ac:dyDescent="0.25">
      <c r="C658" s="120"/>
      <c r="D658" s="120"/>
      <c r="E658" s="120"/>
      <c r="L658" s="56"/>
    </row>
    <row r="659" spans="3:12" ht="15.75" customHeight="1" x14ac:dyDescent="0.25">
      <c r="C659" s="120"/>
      <c r="D659" s="120"/>
      <c r="E659" s="120"/>
      <c r="L659" s="56"/>
    </row>
    <row r="660" spans="3:12" ht="15.75" customHeight="1" x14ac:dyDescent="0.25">
      <c r="C660" s="120"/>
      <c r="D660" s="120"/>
      <c r="E660" s="120"/>
      <c r="L660" s="56"/>
    </row>
    <row r="661" spans="3:12" ht="15.75" customHeight="1" x14ac:dyDescent="0.25">
      <c r="C661" s="120"/>
      <c r="D661" s="120"/>
      <c r="E661" s="120"/>
      <c r="L661" s="56"/>
    </row>
    <row r="662" spans="3:12" ht="15.75" customHeight="1" x14ac:dyDescent="0.25">
      <c r="C662" s="120"/>
      <c r="D662" s="120"/>
      <c r="E662" s="120"/>
      <c r="L662" s="56"/>
    </row>
    <row r="663" spans="3:12" ht="15.75" customHeight="1" x14ac:dyDescent="0.25">
      <c r="C663" s="120"/>
      <c r="D663" s="120"/>
      <c r="E663" s="120"/>
      <c r="L663" s="56"/>
    </row>
    <row r="664" spans="3:12" ht="15.75" customHeight="1" x14ac:dyDescent="0.25">
      <c r="C664" s="120"/>
      <c r="D664" s="120"/>
      <c r="E664" s="120"/>
      <c r="L664" s="56"/>
    </row>
    <row r="665" spans="3:12" ht="15.75" customHeight="1" x14ac:dyDescent="0.25">
      <c r="C665" s="120"/>
      <c r="D665" s="120"/>
      <c r="E665" s="120"/>
      <c r="L665" s="56"/>
    </row>
    <row r="666" spans="3:12" ht="15.75" customHeight="1" x14ac:dyDescent="0.25">
      <c r="C666" s="120"/>
      <c r="D666" s="120"/>
      <c r="E666" s="120"/>
      <c r="L666" s="56"/>
    </row>
    <row r="667" spans="3:12" ht="15.75" customHeight="1" x14ac:dyDescent="0.25">
      <c r="C667" s="120"/>
      <c r="D667" s="120"/>
      <c r="E667" s="120"/>
      <c r="L667" s="56"/>
    </row>
    <row r="668" spans="3:12" ht="15.75" customHeight="1" x14ac:dyDescent="0.25">
      <c r="C668" s="120"/>
      <c r="D668" s="120"/>
      <c r="E668" s="120"/>
      <c r="L668" s="56"/>
    </row>
    <row r="669" spans="3:12" ht="15.75" customHeight="1" x14ac:dyDescent="0.25">
      <c r="C669" s="120"/>
      <c r="D669" s="120"/>
      <c r="E669" s="120"/>
      <c r="L669" s="56"/>
    </row>
    <row r="670" spans="3:12" ht="15.75" customHeight="1" x14ac:dyDescent="0.25">
      <c r="C670" s="120"/>
      <c r="D670" s="120"/>
      <c r="E670" s="120"/>
      <c r="L670" s="56"/>
    </row>
    <row r="671" spans="3:12" ht="15.75" customHeight="1" x14ac:dyDescent="0.25">
      <c r="C671" s="120"/>
      <c r="D671" s="120"/>
      <c r="E671" s="120"/>
      <c r="L671" s="56"/>
    </row>
    <row r="672" spans="3:12" ht="15.75" customHeight="1" x14ac:dyDescent="0.25">
      <c r="C672" s="120"/>
      <c r="D672" s="120"/>
      <c r="E672" s="120"/>
      <c r="L672" s="56"/>
    </row>
    <row r="673" spans="3:12" ht="15.75" customHeight="1" x14ac:dyDescent="0.25">
      <c r="C673" s="120"/>
      <c r="D673" s="120"/>
      <c r="E673" s="120"/>
      <c r="L673" s="56"/>
    </row>
    <row r="674" spans="3:12" ht="15.75" customHeight="1" x14ac:dyDescent="0.25">
      <c r="C674" s="120"/>
      <c r="D674" s="120"/>
      <c r="E674" s="120"/>
      <c r="L674" s="56"/>
    </row>
    <row r="675" spans="3:12" ht="15.75" customHeight="1" x14ac:dyDescent="0.25">
      <c r="C675" s="120"/>
      <c r="D675" s="120"/>
      <c r="E675" s="120"/>
      <c r="L675" s="56"/>
    </row>
    <row r="676" spans="3:12" ht="15.75" customHeight="1" x14ac:dyDescent="0.25">
      <c r="C676" s="120"/>
      <c r="D676" s="120"/>
      <c r="E676" s="120"/>
      <c r="L676" s="56"/>
    </row>
    <row r="677" spans="3:12" ht="15.75" customHeight="1" x14ac:dyDescent="0.25">
      <c r="C677" s="120"/>
      <c r="D677" s="120"/>
      <c r="E677" s="120"/>
      <c r="L677" s="56"/>
    </row>
    <row r="678" spans="3:12" ht="15.75" customHeight="1" x14ac:dyDescent="0.25">
      <c r="C678" s="120"/>
      <c r="D678" s="120"/>
      <c r="E678" s="120"/>
      <c r="L678" s="56"/>
    </row>
    <row r="679" spans="3:12" ht="15.75" customHeight="1" x14ac:dyDescent="0.25">
      <c r="C679" s="120"/>
      <c r="D679" s="120"/>
      <c r="E679" s="120"/>
      <c r="L679" s="56"/>
    </row>
    <row r="680" spans="3:12" ht="15.75" customHeight="1" x14ac:dyDescent="0.25">
      <c r="C680" s="120"/>
      <c r="D680" s="120"/>
      <c r="E680" s="120"/>
      <c r="L680" s="56"/>
    </row>
    <row r="681" spans="3:12" ht="15.75" customHeight="1" x14ac:dyDescent="0.25">
      <c r="C681" s="120"/>
      <c r="D681" s="120"/>
      <c r="E681" s="120"/>
      <c r="L681" s="56"/>
    </row>
    <row r="682" spans="3:12" ht="15.75" customHeight="1" x14ac:dyDescent="0.25">
      <c r="C682" s="120"/>
      <c r="D682" s="120"/>
      <c r="E682" s="120"/>
      <c r="L682" s="56"/>
    </row>
    <row r="683" spans="3:12" ht="15.75" customHeight="1" x14ac:dyDescent="0.25">
      <c r="C683" s="120"/>
      <c r="D683" s="120"/>
      <c r="E683" s="120"/>
      <c r="L683" s="56"/>
    </row>
    <row r="684" spans="3:12" ht="15.75" customHeight="1" x14ac:dyDescent="0.25">
      <c r="C684" s="120"/>
      <c r="D684" s="120"/>
      <c r="E684" s="120"/>
      <c r="L684" s="56"/>
    </row>
    <row r="685" spans="3:12" ht="15.75" customHeight="1" x14ac:dyDescent="0.25">
      <c r="C685" s="120"/>
      <c r="D685" s="120"/>
      <c r="E685" s="120"/>
      <c r="L685" s="56"/>
    </row>
    <row r="686" spans="3:12" ht="15.75" customHeight="1" x14ac:dyDescent="0.25">
      <c r="C686" s="120"/>
      <c r="D686" s="120"/>
      <c r="E686" s="120"/>
      <c r="L686" s="56"/>
    </row>
    <row r="687" spans="3:12" ht="15.75" customHeight="1" x14ac:dyDescent="0.25">
      <c r="C687" s="120"/>
      <c r="D687" s="120"/>
      <c r="E687" s="120"/>
      <c r="L687" s="56"/>
    </row>
    <row r="688" spans="3:12" ht="15.75" customHeight="1" x14ac:dyDescent="0.25">
      <c r="C688" s="120"/>
      <c r="D688" s="120"/>
      <c r="E688" s="120"/>
      <c r="L688" s="56"/>
    </row>
    <row r="689" spans="3:12" ht="15.75" customHeight="1" x14ac:dyDescent="0.25">
      <c r="C689" s="120"/>
      <c r="D689" s="120"/>
      <c r="E689" s="120"/>
      <c r="L689" s="56"/>
    </row>
    <row r="690" spans="3:12" ht="15.75" customHeight="1" x14ac:dyDescent="0.25">
      <c r="C690" s="120"/>
      <c r="D690" s="120"/>
      <c r="E690" s="120"/>
      <c r="L690" s="56"/>
    </row>
    <row r="691" spans="3:12" ht="15.75" customHeight="1" x14ac:dyDescent="0.25">
      <c r="C691" s="120"/>
      <c r="D691" s="120"/>
      <c r="E691" s="120"/>
      <c r="L691" s="56"/>
    </row>
    <row r="692" spans="3:12" ht="15.75" customHeight="1" x14ac:dyDescent="0.25">
      <c r="C692" s="120"/>
      <c r="D692" s="120"/>
      <c r="E692" s="120"/>
      <c r="L692" s="56"/>
    </row>
    <row r="693" spans="3:12" ht="15.75" customHeight="1" x14ac:dyDescent="0.25">
      <c r="C693" s="120"/>
      <c r="D693" s="120"/>
      <c r="E693" s="120"/>
      <c r="L693" s="56"/>
    </row>
    <row r="694" spans="3:12" ht="15.75" customHeight="1" x14ac:dyDescent="0.25">
      <c r="C694" s="120"/>
      <c r="D694" s="120"/>
      <c r="E694" s="120"/>
      <c r="L694" s="56"/>
    </row>
    <row r="695" spans="3:12" ht="15.75" customHeight="1" x14ac:dyDescent="0.25">
      <c r="C695" s="120"/>
      <c r="D695" s="120"/>
      <c r="E695" s="120"/>
      <c r="L695" s="56"/>
    </row>
    <row r="696" spans="3:12" ht="15.75" customHeight="1" x14ac:dyDescent="0.25">
      <c r="C696" s="120"/>
      <c r="D696" s="120"/>
      <c r="E696" s="120"/>
      <c r="L696" s="56"/>
    </row>
    <row r="697" spans="3:12" ht="15.75" customHeight="1" x14ac:dyDescent="0.25">
      <c r="C697" s="120"/>
      <c r="D697" s="120"/>
      <c r="E697" s="120"/>
      <c r="L697" s="56"/>
    </row>
    <row r="698" spans="3:12" ht="15.75" customHeight="1" x14ac:dyDescent="0.25">
      <c r="C698" s="120"/>
      <c r="D698" s="120"/>
      <c r="E698" s="120"/>
      <c r="L698" s="56"/>
    </row>
    <row r="699" spans="3:12" ht="15.75" customHeight="1" x14ac:dyDescent="0.25">
      <c r="C699" s="120"/>
      <c r="D699" s="120"/>
      <c r="E699" s="120"/>
      <c r="L699" s="56"/>
    </row>
    <row r="700" spans="3:12" ht="15.75" customHeight="1" x14ac:dyDescent="0.25">
      <c r="C700" s="120"/>
      <c r="D700" s="120"/>
      <c r="E700" s="120"/>
      <c r="L700" s="56"/>
    </row>
    <row r="701" spans="3:12" ht="15.75" customHeight="1" x14ac:dyDescent="0.25">
      <c r="C701" s="120"/>
      <c r="D701" s="120"/>
      <c r="E701" s="120"/>
      <c r="L701" s="56"/>
    </row>
    <row r="702" spans="3:12" ht="15.75" customHeight="1" x14ac:dyDescent="0.25">
      <c r="C702" s="120"/>
      <c r="D702" s="120"/>
      <c r="E702" s="120"/>
      <c r="L702" s="56"/>
    </row>
    <row r="703" spans="3:12" ht="15.75" customHeight="1" x14ac:dyDescent="0.25">
      <c r="C703" s="120"/>
      <c r="D703" s="120"/>
      <c r="E703" s="120"/>
      <c r="L703" s="56"/>
    </row>
    <row r="704" spans="3:12" ht="15.75" customHeight="1" x14ac:dyDescent="0.25">
      <c r="C704" s="120"/>
      <c r="D704" s="120"/>
      <c r="E704" s="120"/>
      <c r="L704" s="56"/>
    </row>
    <row r="705" spans="3:12" ht="15.75" customHeight="1" x14ac:dyDescent="0.25">
      <c r="C705" s="120"/>
      <c r="D705" s="120"/>
      <c r="E705" s="120"/>
      <c r="L705" s="56"/>
    </row>
    <row r="706" spans="3:12" ht="15.75" customHeight="1" x14ac:dyDescent="0.25">
      <c r="C706" s="120"/>
      <c r="D706" s="120"/>
      <c r="E706" s="120"/>
      <c r="L706" s="56"/>
    </row>
    <row r="707" spans="3:12" ht="15.75" customHeight="1" x14ac:dyDescent="0.25">
      <c r="C707" s="120"/>
      <c r="D707" s="120"/>
      <c r="E707" s="120"/>
      <c r="L707" s="56"/>
    </row>
    <row r="708" spans="3:12" ht="15.75" customHeight="1" x14ac:dyDescent="0.25">
      <c r="C708" s="120"/>
      <c r="D708" s="120"/>
      <c r="E708" s="120"/>
      <c r="L708" s="56"/>
    </row>
    <row r="709" spans="3:12" ht="15.75" customHeight="1" x14ac:dyDescent="0.25">
      <c r="C709" s="120"/>
      <c r="D709" s="120"/>
      <c r="E709" s="120"/>
      <c r="L709" s="56"/>
    </row>
    <row r="710" spans="3:12" ht="15.75" customHeight="1" x14ac:dyDescent="0.25">
      <c r="C710" s="120"/>
      <c r="D710" s="120"/>
      <c r="E710" s="120"/>
      <c r="L710" s="56"/>
    </row>
    <row r="711" spans="3:12" ht="15.75" customHeight="1" x14ac:dyDescent="0.25">
      <c r="C711" s="120"/>
      <c r="D711" s="120"/>
      <c r="E711" s="120"/>
      <c r="L711" s="56"/>
    </row>
    <row r="712" spans="3:12" ht="15.75" customHeight="1" x14ac:dyDescent="0.25">
      <c r="C712" s="120"/>
      <c r="D712" s="120"/>
      <c r="E712" s="120"/>
      <c r="L712" s="56"/>
    </row>
    <row r="713" spans="3:12" ht="15.75" customHeight="1" x14ac:dyDescent="0.25">
      <c r="C713" s="120"/>
      <c r="D713" s="120"/>
      <c r="E713" s="120"/>
      <c r="L713" s="56"/>
    </row>
    <row r="714" spans="3:12" ht="15.75" customHeight="1" x14ac:dyDescent="0.25">
      <c r="C714" s="120"/>
      <c r="D714" s="120"/>
      <c r="E714" s="120"/>
      <c r="L714" s="56"/>
    </row>
    <row r="715" spans="3:12" ht="15.75" customHeight="1" x14ac:dyDescent="0.25">
      <c r="C715" s="120"/>
      <c r="D715" s="120"/>
      <c r="E715" s="120"/>
      <c r="L715" s="56"/>
    </row>
    <row r="716" spans="3:12" ht="15.75" customHeight="1" x14ac:dyDescent="0.25">
      <c r="C716" s="120"/>
      <c r="D716" s="120"/>
      <c r="E716" s="120"/>
      <c r="L716" s="56"/>
    </row>
    <row r="717" spans="3:12" ht="15.75" customHeight="1" x14ac:dyDescent="0.25">
      <c r="C717" s="120"/>
      <c r="D717" s="120"/>
      <c r="E717" s="120"/>
      <c r="L717" s="56"/>
    </row>
    <row r="718" spans="3:12" ht="15.75" customHeight="1" x14ac:dyDescent="0.25">
      <c r="C718" s="120"/>
      <c r="D718" s="120"/>
      <c r="E718" s="120"/>
      <c r="L718" s="56"/>
    </row>
    <row r="719" spans="3:12" ht="15.75" customHeight="1" x14ac:dyDescent="0.25">
      <c r="C719" s="120"/>
      <c r="D719" s="120"/>
      <c r="E719" s="120"/>
      <c r="L719" s="56"/>
    </row>
    <row r="720" spans="3:12" ht="15.75" customHeight="1" x14ac:dyDescent="0.25">
      <c r="C720" s="120"/>
      <c r="D720" s="120"/>
      <c r="E720" s="120"/>
      <c r="L720" s="56"/>
    </row>
    <row r="721" spans="3:12" ht="15.75" customHeight="1" x14ac:dyDescent="0.25">
      <c r="C721" s="120"/>
      <c r="D721" s="120"/>
      <c r="E721" s="120"/>
      <c r="L721" s="56"/>
    </row>
    <row r="722" spans="3:12" ht="15.75" customHeight="1" x14ac:dyDescent="0.25">
      <c r="C722" s="120"/>
      <c r="D722" s="120"/>
      <c r="E722" s="120"/>
      <c r="L722" s="56"/>
    </row>
    <row r="723" spans="3:12" ht="15.75" customHeight="1" x14ac:dyDescent="0.25">
      <c r="C723" s="120"/>
      <c r="D723" s="120"/>
      <c r="E723" s="120"/>
      <c r="L723" s="56"/>
    </row>
    <row r="724" spans="3:12" ht="15.75" customHeight="1" x14ac:dyDescent="0.25">
      <c r="C724" s="120"/>
      <c r="D724" s="120"/>
      <c r="E724" s="120"/>
      <c r="L724" s="56"/>
    </row>
    <row r="725" spans="3:12" ht="15.75" customHeight="1" x14ac:dyDescent="0.25">
      <c r="C725" s="120"/>
      <c r="D725" s="120"/>
      <c r="E725" s="120"/>
      <c r="L725" s="56"/>
    </row>
    <row r="726" spans="3:12" ht="15.75" customHeight="1" x14ac:dyDescent="0.25">
      <c r="C726" s="120"/>
      <c r="D726" s="120"/>
      <c r="E726" s="120"/>
      <c r="L726" s="56"/>
    </row>
    <row r="727" spans="3:12" ht="15.75" customHeight="1" x14ac:dyDescent="0.25">
      <c r="C727" s="120"/>
      <c r="D727" s="120"/>
      <c r="E727" s="120"/>
      <c r="L727" s="56"/>
    </row>
    <row r="728" spans="3:12" ht="15.75" customHeight="1" x14ac:dyDescent="0.25">
      <c r="C728" s="120"/>
      <c r="D728" s="120"/>
      <c r="E728" s="120"/>
      <c r="L728" s="56"/>
    </row>
    <row r="729" spans="3:12" ht="15.75" customHeight="1" x14ac:dyDescent="0.25">
      <c r="C729" s="120"/>
      <c r="D729" s="120"/>
      <c r="E729" s="120"/>
      <c r="L729" s="56"/>
    </row>
    <row r="730" spans="3:12" ht="15.75" customHeight="1" x14ac:dyDescent="0.25">
      <c r="C730" s="120"/>
      <c r="D730" s="120"/>
      <c r="E730" s="120"/>
      <c r="L730" s="56"/>
    </row>
    <row r="731" spans="3:12" ht="15.75" customHeight="1" x14ac:dyDescent="0.25">
      <c r="C731" s="120"/>
      <c r="D731" s="120"/>
      <c r="E731" s="120"/>
      <c r="L731" s="56"/>
    </row>
    <row r="732" spans="3:12" ht="15.75" customHeight="1" x14ac:dyDescent="0.25">
      <c r="C732" s="120"/>
      <c r="D732" s="120"/>
      <c r="E732" s="120"/>
      <c r="L732" s="56"/>
    </row>
    <row r="733" spans="3:12" ht="15.75" customHeight="1" x14ac:dyDescent="0.25">
      <c r="C733" s="120"/>
      <c r="D733" s="120"/>
      <c r="E733" s="120"/>
      <c r="L733" s="56"/>
    </row>
    <row r="734" spans="3:12" ht="15.75" customHeight="1" x14ac:dyDescent="0.25">
      <c r="C734" s="120"/>
      <c r="D734" s="120"/>
      <c r="E734" s="120"/>
      <c r="L734" s="56"/>
    </row>
    <row r="735" spans="3:12" ht="15.75" customHeight="1" x14ac:dyDescent="0.25">
      <c r="C735" s="120"/>
      <c r="D735" s="120"/>
      <c r="E735" s="120"/>
      <c r="L735" s="56"/>
    </row>
    <row r="736" spans="3:12" ht="15.75" customHeight="1" x14ac:dyDescent="0.25">
      <c r="C736" s="120"/>
      <c r="D736" s="120"/>
      <c r="E736" s="120"/>
      <c r="L736" s="56"/>
    </row>
    <row r="737" spans="3:12" ht="15.75" customHeight="1" x14ac:dyDescent="0.25">
      <c r="C737" s="120"/>
      <c r="D737" s="120"/>
      <c r="E737" s="120"/>
      <c r="L737" s="56"/>
    </row>
    <row r="738" spans="3:12" ht="15.75" customHeight="1" x14ac:dyDescent="0.25">
      <c r="C738" s="120"/>
      <c r="D738" s="120"/>
      <c r="E738" s="120"/>
      <c r="L738" s="56"/>
    </row>
    <row r="739" spans="3:12" ht="15.75" customHeight="1" x14ac:dyDescent="0.25">
      <c r="C739" s="120"/>
      <c r="D739" s="120"/>
      <c r="E739" s="120"/>
      <c r="L739" s="56"/>
    </row>
    <row r="740" spans="3:12" ht="15.75" customHeight="1" x14ac:dyDescent="0.25">
      <c r="C740" s="120"/>
      <c r="D740" s="120"/>
      <c r="E740" s="120"/>
      <c r="L740" s="56"/>
    </row>
    <row r="741" spans="3:12" ht="15.75" customHeight="1" x14ac:dyDescent="0.25">
      <c r="C741" s="120"/>
      <c r="D741" s="120"/>
      <c r="E741" s="120"/>
      <c r="L741" s="56"/>
    </row>
    <row r="742" spans="3:12" ht="15.75" customHeight="1" x14ac:dyDescent="0.25">
      <c r="C742" s="120"/>
      <c r="D742" s="120"/>
      <c r="E742" s="120"/>
      <c r="L742" s="56"/>
    </row>
    <row r="743" spans="3:12" ht="15.75" customHeight="1" x14ac:dyDescent="0.25">
      <c r="C743" s="120"/>
      <c r="D743" s="120"/>
      <c r="E743" s="120"/>
      <c r="L743" s="56"/>
    </row>
    <row r="744" spans="3:12" ht="15.75" customHeight="1" x14ac:dyDescent="0.25">
      <c r="C744" s="120"/>
      <c r="D744" s="120"/>
      <c r="E744" s="120"/>
      <c r="L744" s="56"/>
    </row>
    <row r="745" spans="3:12" ht="15.75" customHeight="1" x14ac:dyDescent="0.25">
      <c r="C745" s="120"/>
      <c r="D745" s="120"/>
      <c r="E745" s="120"/>
      <c r="L745" s="56"/>
    </row>
    <row r="746" spans="3:12" ht="15.75" customHeight="1" x14ac:dyDescent="0.25">
      <c r="C746" s="120"/>
      <c r="D746" s="120"/>
      <c r="E746" s="120"/>
      <c r="L746" s="56"/>
    </row>
    <row r="747" spans="3:12" ht="15.75" customHeight="1" x14ac:dyDescent="0.25">
      <c r="C747" s="120"/>
      <c r="D747" s="120"/>
      <c r="E747" s="120"/>
      <c r="L747" s="56"/>
    </row>
    <row r="748" spans="3:12" ht="15.75" customHeight="1" x14ac:dyDescent="0.25">
      <c r="C748" s="120"/>
      <c r="D748" s="120"/>
      <c r="E748" s="120"/>
      <c r="L748" s="56"/>
    </row>
    <row r="749" spans="3:12" ht="15.75" customHeight="1" x14ac:dyDescent="0.25">
      <c r="C749" s="120"/>
      <c r="D749" s="120"/>
      <c r="E749" s="120"/>
      <c r="L749" s="56"/>
    </row>
    <row r="750" spans="3:12" ht="15.75" customHeight="1" x14ac:dyDescent="0.25">
      <c r="C750" s="120"/>
      <c r="D750" s="120"/>
      <c r="E750" s="120"/>
      <c r="L750" s="56"/>
    </row>
    <row r="751" spans="3:12" ht="15.75" customHeight="1" x14ac:dyDescent="0.25">
      <c r="C751" s="120"/>
      <c r="D751" s="120"/>
      <c r="E751" s="120"/>
      <c r="L751" s="56"/>
    </row>
    <row r="752" spans="3:12" ht="15.75" customHeight="1" x14ac:dyDescent="0.25">
      <c r="C752" s="120"/>
      <c r="D752" s="120"/>
      <c r="E752" s="120"/>
      <c r="L752" s="56"/>
    </row>
    <row r="753" spans="3:12" ht="15.75" customHeight="1" x14ac:dyDescent="0.25">
      <c r="C753" s="120"/>
      <c r="D753" s="120"/>
      <c r="E753" s="120"/>
      <c r="L753" s="56"/>
    </row>
    <row r="754" spans="3:12" ht="15.75" customHeight="1" x14ac:dyDescent="0.25">
      <c r="C754" s="120"/>
      <c r="D754" s="120"/>
      <c r="E754" s="120"/>
      <c r="L754" s="56"/>
    </row>
    <row r="755" spans="3:12" ht="15.75" customHeight="1" x14ac:dyDescent="0.25">
      <c r="C755" s="120"/>
      <c r="D755" s="120"/>
      <c r="E755" s="120"/>
      <c r="L755" s="56"/>
    </row>
    <row r="756" spans="3:12" ht="15.75" customHeight="1" x14ac:dyDescent="0.25">
      <c r="C756" s="120"/>
      <c r="D756" s="120"/>
      <c r="E756" s="120"/>
      <c r="L756" s="56"/>
    </row>
    <row r="757" spans="3:12" ht="15.75" customHeight="1" x14ac:dyDescent="0.25">
      <c r="C757" s="120"/>
      <c r="D757" s="120"/>
      <c r="E757" s="120"/>
      <c r="L757" s="56"/>
    </row>
    <row r="758" spans="3:12" ht="15.75" customHeight="1" x14ac:dyDescent="0.25">
      <c r="C758" s="120"/>
      <c r="D758" s="120"/>
      <c r="E758" s="120"/>
      <c r="L758" s="56"/>
    </row>
    <row r="759" spans="3:12" ht="15.75" customHeight="1" x14ac:dyDescent="0.25">
      <c r="C759" s="120"/>
      <c r="D759" s="120"/>
      <c r="E759" s="120"/>
      <c r="L759" s="56"/>
    </row>
    <row r="760" spans="3:12" ht="15.75" customHeight="1" x14ac:dyDescent="0.25">
      <c r="C760" s="120"/>
      <c r="D760" s="120"/>
      <c r="E760" s="120"/>
      <c r="L760" s="56"/>
    </row>
    <row r="761" spans="3:12" ht="15.75" customHeight="1" x14ac:dyDescent="0.25">
      <c r="C761" s="120"/>
      <c r="D761" s="120"/>
      <c r="E761" s="120"/>
      <c r="L761" s="56"/>
    </row>
    <row r="762" spans="3:12" ht="15.75" customHeight="1" x14ac:dyDescent="0.25">
      <c r="C762" s="120"/>
      <c r="D762" s="120"/>
      <c r="E762" s="120"/>
      <c r="L762" s="56"/>
    </row>
    <row r="763" spans="3:12" ht="15.75" customHeight="1" x14ac:dyDescent="0.25">
      <c r="C763" s="120"/>
      <c r="D763" s="120"/>
      <c r="E763" s="120"/>
      <c r="L763" s="56"/>
    </row>
    <row r="764" spans="3:12" ht="15.75" customHeight="1" x14ac:dyDescent="0.25">
      <c r="C764" s="120"/>
      <c r="D764" s="120"/>
      <c r="E764" s="120"/>
      <c r="L764" s="56"/>
    </row>
    <row r="765" spans="3:12" ht="15.75" customHeight="1" x14ac:dyDescent="0.25">
      <c r="C765" s="120"/>
      <c r="D765" s="120"/>
      <c r="E765" s="120"/>
      <c r="L765" s="56"/>
    </row>
    <row r="766" spans="3:12" ht="15.75" customHeight="1" x14ac:dyDescent="0.25">
      <c r="C766" s="120"/>
      <c r="D766" s="120"/>
      <c r="E766" s="120"/>
      <c r="L766" s="56"/>
    </row>
    <row r="767" spans="3:12" ht="15.75" customHeight="1" x14ac:dyDescent="0.25">
      <c r="C767" s="120"/>
      <c r="D767" s="120"/>
      <c r="E767" s="120"/>
      <c r="L767" s="56"/>
    </row>
    <row r="768" spans="3:12" ht="15.75" customHeight="1" x14ac:dyDescent="0.25">
      <c r="C768" s="120"/>
      <c r="D768" s="120"/>
      <c r="E768" s="120"/>
      <c r="L768" s="56"/>
    </row>
    <row r="769" spans="3:12" ht="15.75" customHeight="1" x14ac:dyDescent="0.25">
      <c r="C769" s="120"/>
      <c r="D769" s="120"/>
      <c r="E769" s="120"/>
      <c r="L769" s="56"/>
    </row>
    <row r="770" spans="3:12" ht="15.75" customHeight="1" x14ac:dyDescent="0.25">
      <c r="C770" s="120"/>
      <c r="D770" s="120"/>
      <c r="E770" s="120"/>
      <c r="L770" s="56"/>
    </row>
    <row r="771" spans="3:12" ht="15.75" customHeight="1" x14ac:dyDescent="0.25">
      <c r="C771" s="120"/>
      <c r="D771" s="120"/>
      <c r="E771" s="120"/>
      <c r="L771" s="56"/>
    </row>
    <row r="772" spans="3:12" ht="15.75" customHeight="1" x14ac:dyDescent="0.25">
      <c r="C772" s="120"/>
      <c r="D772" s="120"/>
      <c r="E772" s="120"/>
      <c r="L772" s="56"/>
    </row>
    <row r="773" spans="3:12" ht="15.75" customHeight="1" x14ac:dyDescent="0.25">
      <c r="C773" s="120"/>
      <c r="D773" s="120"/>
      <c r="E773" s="120"/>
      <c r="L773" s="56"/>
    </row>
    <row r="774" spans="3:12" ht="15.75" customHeight="1" x14ac:dyDescent="0.25">
      <c r="C774" s="120"/>
      <c r="D774" s="120"/>
      <c r="E774" s="120"/>
      <c r="L774" s="56"/>
    </row>
    <row r="775" spans="3:12" ht="15.75" customHeight="1" x14ac:dyDescent="0.25">
      <c r="C775" s="120"/>
      <c r="D775" s="120"/>
      <c r="E775" s="120"/>
      <c r="L775" s="56"/>
    </row>
    <row r="776" spans="3:12" ht="15.75" customHeight="1" x14ac:dyDescent="0.25">
      <c r="C776" s="120"/>
      <c r="D776" s="120"/>
      <c r="E776" s="120"/>
      <c r="L776" s="56"/>
    </row>
    <row r="777" spans="3:12" ht="15.75" customHeight="1" x14ac:dyDescent="0.25">
      <c r="C777" s="120"/>
      <c r="D777" s="120"/>
      <c r="E777" s="120"/>
      <c r="L777" s="56"/>
    </row>
    <row r="778" spans="3:12" ht="15.75" customHeight="1" x14ac:dyDescent="0.25">
      <c r="C778" s="120"/>
      <c r="D778" s="120"/>
      <c r="E778" s="120"/>
      <c r="L778" s="56"/>
    </row>
    <row r="779" spans="3:12" ht="15.75" customHeight="1" x14ac:dyDescent="0.25">
      <c r="C779" s="120"/>
      <c r="D779" s="120"/>
      <c r="E779" s="120"/>
      <c r="L779" s="56"/>
    </row>
    <row r="780" spans="3:12" ht="15.75" customHeight="1" x14ac:dyDescent="0.25">
      <c r="C780" s="120"/>
      <c r="D780" s="120"/>
      <c r="E780" s="120"/>
      <c r="L780" s="56"/>
    </row>
    <row r="781" spans="3:12" ht="15.75" customHeight="1" x14ac:dyDescent="0.25">
      <c r="C781" s="120"/>
      <c r="D781" s="120"/>
      <c r="E781" s="120"/>
      <c r="L781" s="56"/>
    </row>
    <row r="782" spans="3:12" ht="15.75" customHeight="1" x14ac:dyDescent="0.25">
      <c r="C782" s="120"/>
      <c r="D782" s="120"/>
      <c r="E782" s="120"/>
      <c r="L782" s="56"/>
    </row>
    <row r="783" spans="3:12" ht="15.75" customHeight="1" x14ac:dyDescent="0.25">
      <c r="C783" s="120"/>
      <c r="D783" s="120"/>
      <c r="E783" s="120"/>
      <c r="L783" s="56"/>
    </row>
    <row r="784" spans="3:12" ht="15.75" customHeight="1" x14ac:dyDescent="0.25">
      <c r="C784" s="120"/>
      <c r="D784" s="120"/>
      <c r="E784" s="120"/>
      <c r="L784" s="56"/>
    </row>
    <row r="785" spans="3:12" ht="15.75" customHeight="1" x14ac:dyDescent="0.25">
      <c r="C785" s="120"/>
      <c r="D785" s="120"/>
      <c r="E785" s="120"/>
      <c r="L785" s="56"/>
    </row>
    <row r="786" spans="3:12" ht="15.75" customHeight="1" x14ac:dyDescent="0.25">
      <c r="C786" s="120"/>
      <c r="D786" s="120"/>
      <c r="E786" s="120"/>
      <c r="L786" s="56"/>
    </row>
    <row r="787" spans="3:12" ht="15.75" customHeight="1" x14ac:dyDescent="0.25">
      <c r="C787" s="120"/>
      <c r="D787" s="120"/>
      <c r="E787" s="120"/>
      <c r="L787" s="56"/>
    </row>
    <row r="788" spans="3:12" ht="15.75" customHeight="1" x14ac:dyDescent="0.25">
      <c r="C788" s="120"/>
      <c r="D788" s="120"/>
      <c r="E788" s="120"/>
      <c r="L788" s="56"/>
    </row>
    <row r="789" spans="3:12" ht="15.75" customHeight="1" x14ac:dyDescent="0.25">
      <c r="C789" s="120"/>
      <c r="D789" s="120"/>
      <c r="E789" s="120"/>
      <c r="L789" s="56"/>
    </row>
    <row r="790" spans="3:12" ht="15.75" customHeight="1" x14ac:dyDescent="0.25">
      <c r="C790" s="120"/>
      <c r="D790" s="120"/>
      <c r="E790" s="120"/>
      <c r="L790" s="56"/>
    </row>
    <row r="791" spans="3:12" ht="15.75" customHeight="1" x14ac:dyDescent="0.25">
      <c r="C791" s="120"/>
      <c r="D791" s="120"/>
      <c r="E791" s="120"/>
      <c r="L791" s="56"/>
    </row>
    <row r="792" spans="3:12" ht="15.75" customHeight="1" x14ac:dyDescent="0.25">
      <c r="C792" s="120"/>
      <c r="D792" s="120"/>
      <c r="E792" s="120"/>
      <c r="L792" s="56"/>
    </row>
    <row r="793" spans="3:12" ht="15.75" customHeight="1" x14ac:dyDescent="0.25">
      <c r="C793" s="120"/>
      <c r="D793" s="120"/>
      <c r="E793" s="120"/>
      <c r="L793" s="56"/>
    </row>
    <row r="794" spans="3:12" ht="15.75" customHeight="1" x14ac:dyDescent="0.25">
      <c r="C794" s="120"/>
      <c r="D794" s="120"/>
      <c r="E794" s="120"/>
      <c r="L794" s="56"/>
    </row>
    <row r="795" spans="3:12" ht="15.75" customHeight="1" x14ac:dyDescent="0.25">
      <c r="C795" s="120"/>
      <c r="D795" s="120"/>
      <c r="E795" s="120"/>
      <c r="L795" s="56"/>
    </row>
    <row r="796" spans="3:12" ht="15.75" customHeight="1" x14ac:dyDescent="0.25">
      <c r="C796" s="120"/>
      <c r="D796" s="120"/>
      <c r="E796" s="120"/>
      <c r="L796" s="56"/>
    </row>
    <row r="797" spans="3:12" ht="15.75" customHeight="1" x14ac:dyDescent="0.25">
      <c r="C797" s="120"/>
      <c r="D797" s="120"/>
      <c r="E797" s="120"/>
      <c r="L797" s="56"/>
    </row>
    <row r="798" spans="3:12" ht="15.75" customHeight="1" x14ac:dyDescent="0.25">
      <c r="C798" s="120"/>
      <c r="D798" s="120"/>
      <c r="E798" s="120"/>
      <c r="L798" s="56"/>
    </row>
    <row r="799" spans="3:12" ht="15.75" customHeight="1" x14ac:dyDescent="0.25">
      <c r="C799" s="120"/>
      <c r="D799" s="120"/>
      <c r="E799" s="120"/>
      <c r="L799" s="56"/>
    </row>
    <row r="800" spans="3:12" ht="15.75" customHeight="1" x14ac:dyDescent="0.25">
      <c r="C800" s="120"/>
      <c r="D800" s="120"/>
      <c r="E800" s="120"/>
      <c r="L800" s="56"/>
    </row>
    <row r="801" spans="3:12" ht="15.75" customHeight="1" x14ac:dyDescent="0.25">
      <c r="C801" s="120"/>
      <c r="D801" s="120"/>
      <c r="E801" s="120"/>
      <c r="L801" s="56"/>
    </row>
    <row r="802" spans="3:12" ht="15.75" customHeight="1" x14ac:dyDescent="0.25">
      <c r="C802" s="120"/>
      <c r="D802" s="120"/>
      <c r="E802" s="120"/>
      <c r="L802" s="56"/>
    </row>
    <row r="803" spans="3:12" ht="15.75" customHeight="1" x14ac:dyDescent="0.25">
      <c r="C803" s="120"/>
      <c r="D803" s="120"/>
      <c r="E803" s="120"/>
      <c r="L803" s="56"/>
    </row>
    <row r="804" spans="3:12" ht="15.75" customHeight="1" x14ac:dyDescent="0.25">
      <c r="C804" s="120"/>
      <c r="D804" s="120"/>
      <c r="E804" s="120"/>
      <c r="L804" s="56"/>
    </row>
    <row r="805" spans="3:12" ht="15.75" customHeight="1" x14ac:dyDescent="0.25">
      <c r="C805" s="120"/>
      <c r="D805" s="120"/>
      <c r="E805" s="120"/>
      <c r="L805" s="56"/>
    </row>
    <row r="806" spans="3:12" ht="15.75" customHeight="1" x14ac:dyDescent="0.25">
      <c r="C806" s="120"/>
      <c r="D806" s="120"/>
      <c r="E806" s="120"/>
      <c r="L806" s="56"/>
    </row>
    <row r="807" spans="3:12" ht="15.75" customHeight="1" x14ac:dyDescent="0.25">
      <c r="C807" s="120"/>
      <c r="D807" s="120"/>
      <c r="E807" s="120"/>
      <c r="L807" s="56"/>
    </row>
    <row r="808" spans="3:12" ht="15.75" customHeight="1" x14ac:dyDescent="0.25">
      <c r="C808" s="120"/>
      <c r="D808" s="120"/>
      <c r="E808" s="120"/>
      <c r="L808" s="56"/>
    </row>
    <row r="809" spans="3:12" ht="15.75" customHeight="1" x14ac:dyDescent="0.25">
      <c r="C809" s="120"/>
      <c r="D809" s="120"/>
      <c r="E809" s="120"/>
      <c r="L809" s="56"/>
    </row>
    <row r="810" spans="3:12" ht="15.75" customHeight="1" x14ac:dyDescent="0.25">
      <c r="C810" s="120"/>
      <c r="D810" s="120"/>
      <c r="E810" s="120"/>
      <c r="L810" s="56"/>
    </row>
    <row r="811" spans="3:12" ht="15.75" customHeight="1" x14ac:dyDescent="0.25">
      <c r="C811" s="120"/>
      <c r="D811" s="120"/>
      <c r="E811" s="120"/>
      <c r="L811" s="56"/>
    </row>
    <row r="812" spans="3:12" ht="15.75" customHeight="1" x14ac:dyDescent="0.25">
      <c r="C812" s="120"/>
      <c r="D812" s="120"/>
      <c r="E812" s="120"/>
      <c r="L812" s="56"/>
    </row>
    <row r="813" spans="3:12" ht="15.75" customHeight="1" x14ac:dyDescent="0.25">
      <c r="C813" s="120"/>
      <c r="D813" s="120"/>
      <c r="E813" s="120"/>
      <c r="L813" s="56"/>
    </row>
    <row r="814" spans="3:12" ht="15.75" customHeight="1" x14ac:dyDescent="0.25">
      <c r="C814" s="120"/>
      <c r="D814" s="120"/>
      <c r="E814" s="120"/>
      <c r="L814" s="56"/>
    </row>
    <row r="815" spans="3:12" ht="15.75" customHeight="1" x14ac:dyDescent="0.25">
      <c r="C815" s="120"/>
      <c r="D815" s="120"/>
      <c r="E815" s="120"/>
      <c r="L815" s="56"/>
    </row>
    <row r="816" spans="3:12" ht="15.75" customHeight="1" x14ac:dyDescent="0.25">
      <c r="C816" s="120"/>
      <c r="D816" s="120"/>
      <c r="E816" s="120"/>
      <c r="L816" s="56"/>
    </row>
    <row r="817" spans="3:12" ht="15.75" customHeight="1" x14ac:dyDescent="0.25">
      <c r="C817" s="120"/>
      <c r="D817" s="120"/>
      <c r="E817" s="120"/>
      <c r="L817" s="56"/>
    </row>
    <row r="818" spans="3:12" ht="15.75" customHeight="1" x14ac:dyDescent="0.25">
      <c r="C818" s="120"/>
      <c r="D818" s="120"/>
      <c r="E818" s="120"/>
      <c r="L818" s="56"/>
    </row>
    <row r="819" spans="3:12" ht="15.75" customHeight="1" x14ac:dyDescent="0.25">
      <c r="C819" s="120"/>
      <c r="D819" s="120"/>
      <c r="E819" s="120"/>
      <c r="L819" s="56"/>
    </row>
    <row r="820" spans="3:12" ht="15.75" customHeight="1" x14ac:dyDescent="0.25">
      <c r="C820" s="120"/>
      <c r="D820" s="120"/>
      <c r="E820" s="120"/>
      <c r="L820" s="56"/>
    </row>
    <row r="821" spans="3:12" ht="15.75" customHeight="1" x14ac:dyDescent="0.25">
      <c r="C821" s="120"/>
      <c r="D821" s="120"/>
      <c r="E821" s="120"/>
      <c r="L821" s="56"/>
    </row>
    <row r="822" spans="3:12" ht="15.75" customHeight="1" x14ac:dyDescent="0.25">
      <c r="C822" s="120"/>
      <c r="D822" s="120"/>
      <c r="E822" s="120"/>
      <c r="L822" s="56"/>
    </row>
    <row r="823" spans="3:12" ht="15.75" customHeight="1" x14ac:dyDescent="0.25">
      <c r="C823" s="120"/>
      <c r="D823" s="120"/>
      <c r="E823" s="120"/>
      <c r="L823" s="56"/>
    </row>
    <row r="824" spans="3:12" ht="15.75" customHeight="1" x14ac:dyDescent="0.25">
      <c r="C824" s="120"/>
      <c r="D824" s="120"/>
      <c r="E824" s="120"/>
      <c r="L824" s="56"/>
    </row>
    <row r="825" spans="3:12" ht="15.75" customHeight="1" x14ac:dyDescent="0.25">
      <c r="C825" s="120"/>
      <c r="D825" s="120"/>
      <c r="E825" s="120"/>
      <c r="L825" s="56"/>
    </row>
    <row r="826" spans="3:12" ht="15.75" customHeight="1" x14ac:dyDescent="0.25">
      <c r="C826" s="120"/>
      <c r="D826" s="120"/>
      <c r="E826" s="120"/>
      <c r="L826" s="56"/>
    </row>
    <row r="827" spans="3:12" ht="15.75" customHeight="1" x14ac:dyDescent="0.25">
      <c r="C827" s="120"/>
      <c r="D827" s="120"/>
      <c r="E827" s="120"/>
      <c r="L827" s="56"/>
    </row>
    <row r="828" spans="3:12" ht="15.75" customHeight="1" x14ac:dyDescent="0.25">
      <c r="C828" s="120"/>
      <c r="D828" s="120"/>
      <c r="E828" s="120"/>
      <c r="L828" s="56"/>
    </row>
    <row r="829" spans="3:12" ht="15.75" customHeight="1" x14ac:dyDescent="0.25">
      <c r="C829" s="120"/>
      <c r="D829" s="120"/>
      <c r="E829" s="120"/>
      <c r="L829" s="56"/>
    </row>
    <row r="830" spans="3:12" ht="15.75" customHeight="1" x14ac:dyDescent="0.25">
      <c r="C830" s="120"/>
      <c r="D830" s="120"/>
      <c r="E830" s="120"/>
      <c r="L830" s="56"/>
    </row>
    <row r="831" spans="3:12" ht="15.75" customHeight="1" x14ac:dyDescent="0.25">
      <c r="C831" s="120"/>
      <c r="D831" s="120"/>
      <c r="E831" s="120"/>
      <c r="L831" s="56"/>
    </row>
    <row r="832" spans="3:12" ht="15.75" customHeight="1" x14ac:dyDescent="0.25">
      <c r="C832" s="120"/>
      <c r="D832" s="120"/>
      <c r="E832" s="120"/>
      <c r="L832" s="56"/>
    </row>
    <row r="833" spans="3:12" ht="15.75" customHeight="1" x14ac:dyDescent="0.25">
      <c r="C833" s="120"/>
      <c r="D833" s="120"/>
      <c r="E833" s="120"/>
      <c r="L833" s="56"/>
    </row>
    <row r="834" spans="3:12" ht="15.75" customHeight="1" x14ac:dyDescent="0.25">
      <c r="C834" s="120"/>
      <c r="D834" s="120"/>
      <c r="E834" s="120"/>
      <c r="L834" s="56"/>
    </row>
    <row r="835" spans="3:12" ht="15.75" customHeight="1" x14ac:dyDescent="0.25">
      <c r="C835" s="120"/>
      <c r="D835" s="120"/>
      <c r="E835" s="120"/>
      <c r="L835" s="56"/>
    </row>
    <row r="836" spans="3:12" ht="15.75" customHeight="1" x14ac:dyDescent="0.25">
      <c r="C836" s="120"/>
      <c r="D836" s="120"/>
      <c r="E836" s="120"/>
      <c r="L836" s="56"/>
    </row>
    <row r="837" spans="3:12" ht="15.75" customHeight="1" x14ac:dyDescent="0.25">
      <c r="C837" s="120"/>
      <c r="D837" s="120"/>
      <c r="E837" s="120"/>
      <c r="L837" s="56"/>
    </row>
    <row r="838" spans="3:12" ht="15.75" customHeight="1" x14ac:dyDescent="0.25">
      <c r="C838" s="120"/>
      <c r="D838" s="120"/>
      <c r="E838" s="120"/>
      <c r="L838" s="56"/>
    </row>
    <row r="839" spans="3:12" ht="15.75" customHeight="1" x14ac:dyDescent="0.25">
      <c r="C839" s="120"/>
      <c r="D839" s="120"/>
      <c r="E839" s="120"/>
      <c r="L839" s="56"/>
    </row>
    <row r="840" spans="3:12" ht="15.75" customHeight="1" x14ac:dyDescent="0.25">
      <c r="C840" s="120"/>
      <c r="D840" s="120"/>
      <c r="E840" s="120"/>
      <c r="L840" s="56"/>
    </row>
    <row r="841" spans="3:12" ht="15.75" customHeight="1" x14ac:dyDescent="0.25">
      <c r="C841" s="120"/>
      <c r="D841" s="120"/>
      <c r="E841" s="120"/>
      <c r="L841" s="56"/>
    </row>
    <row r="842" spans="3:12" ht="15.75" customHeight="1" x14ac:dyDescent="0.25">
      <c r="C842" s="120"/>
      <c r="D842" s="120"/>
      <c r="E842" s="120"/>
      <c r="L842" s="56"/>
    </row>
    <row r="843" spans="3:12" ht="15.75" customHeight="1" x14ac:dyDescent="0.25">
      <c r="C843" s="120"/>
      <c r="D843" s="120"/>
      <c r="E843" s="120"/>
      <c r="L843" s="56"/>
    </row>
    <row r="844" spans="3:12" ht="15.75" customHeight="1" x14ac:dyDescent="0.25">
      <c r="C844" s="120"/>
      <c r="D844" s="120"/>
      <c r="E844" s="120"/>
      <c r="L844" s="56"/>
    </row>
    <row r="845" spans="3:12" ht="15.75" customHeight="1" x14ac:dyDescent="0.25">
      <c r="C845" s="120"/>
      <c r="D845" s="120"/>
      <c r="E845" s="120"/>
      <c r="L845" s="56"/>
    </row>
    <row r="846" spans="3:12" ht="15.75" customHeight="1" x14ac:dyDescent="0.25">
      <c r="C846" s="120"/>
      <c r="D846" s="120"/>
      <c r="E846" s="120"/>
      <c r="L846" s="56"/>
    </row>
    <row r="847" spans="3:12" ht="15.75" customHeight="1" x14ac:dyDescent="0.25">
      <c r="C847" s="120"/>
      <c r="D847" s="120"/>
      <c r="E847" s="120"/>
      <c r="L847" s="56"/>
    </row>
    <row r="848" spans="3:12" ht="15.75" customHeight="1" x14ac:dyDescent="0.25">
      <c r="C848" s="120"/>
      <c r="D848" s="120"/>
      <c r="E848" s="120"/>
      <c r="L848" s="56"/>
    </row>
    <row r="849" spans="3:12" ht="15.75" customHeight="1" x14ac:dyDescent="0.25">
      <c r="C849" s="120"/>
      <c r="D849" s="120"/>
      <c r="E849" s="120"/>
      <c r="L849" s="56"/>
    </row>
    <row r="850" spans="3:12" ht="15.75" customHeight="1" x14ac:dyDescent="0.25">
      <c r="C850" s="120"/>
      <c r="D850" s="120"/>
      <c r="E850" s="120"/>
      <c r="L850" s="56"/>
    </row>
    <row r="851" spans="3:12" ht="15.75" customHeight="1" x14ac:dyDescent="0.25">
      <c r="C851" s="120"/>
      <c r="D851" s="120"/>
      <c r="E851" s="120"/>
      <c r="L851" s="56"/>
    </row>
    <row r="852" spans="3:12" ht="15.75" customHeight="1" x14ac:dyDescent="0.25">
      <c r="C852" s="120"/>
      <c r="D852" s="120"/>
      <c r="E852" s="120"/>
      <c r="L852" s="56"/>
    </row>
    <row r="853" spans="3:12" ht="15.75" customHeight="1" x14ac:dyDescent="0.25">
      <c r="C853" s="120"/>
      <c r="D853" s="120"/>
      <c r="E853" s="120"/>
      <c r="L853" s="56"/>
    </row>
    <row r="854" spans="3:12" ht="15.75" customHeight="1" x14ac:dyDescent="0.25">
      <c r="C854" s="120"/>
      <c r="D854" s="120"/>
      <c r="E854" s="120"/>
      <c r="L854" s="56"/>
    </row>
    <row r="855" spans="3:12" ht="15.75" customHeight="1" x14ac:dyDescent="0.25">
      <c r="C855" s="120"/>
      <c r="D855" s="120"/>
      <c r="E855" s="120"/>
      <c r="L855" s="56"/>
    </row>
    <row r="856" spans="3:12" ht="15.75" customHeight="1" x14ac:dyDescent="0.25">
      <c r="C856" s="120"/>
      <c r="D856" s="120"/>
      <c r="E856" s="120"/>
      <c r="L856" s="56"/>
    </row>
    <row r="857" spans="3:12" ht="15.75" customHeight="1" x14ac:dyDescent="0.25">
      <c r="C857" s="120"/>
      <c r="D857" s="120"/>
      <c r="E857" s="120"/>
      <c r="L857" s="56"/>
    </row>
    <row r="858" spans="3:12" ht="15.75" customHeight="1" x14ac:dyDescent="0.25">
      <c r="C858" s="120"/>
      <c r="D858" s="120"/>
      <c r="E858" s="120"/>
      <c r="L858" s="56"/>
    </row>
    <row r="859" spans="3:12" ht="15.75" customHeight="1" x14ac:dyDescent="0.25">
      <c r="C859" s="120"/>
      <c r="D859" s="120"/>
      <c r="E859" s="120"/>
      <c r="L859" s="56"/>
    </row>
    <row r="860" spans="3:12" ht="15.75" customHeight="1" x14ac:dyDescent="0.25">
      <c r="C860" s="120"/>
      <c r="D860" s="120"/>
      <c r="E860" s="120"/>
      <c r="L860" s="56"/>
    </row>
    <row r="861" spans="3:12" ht="15.75" customHeight="1" x14ac:dyDescent="0.25">
      <c r="C861" s="120"/>
      <c r="D861" s="120"/>
      <c r="E861" s="120"/>
      <c r="L861" s="56"/>
    </row>
    <row r="862" spans="3:12" ht="15.75" customHeight="1" x14ac:dyDescent="0.25">
      <c r="C862" s="120"/>
      <c r="D862" s="120"/>
      <c r="E862" s="120"/>
      <c r="L862" s="56"/>
    </row>
    <row r="863" spans="3:12" ht="15.75" customHeight="1" x14ac:dyDescent="0.25">
      <c r="C863" s="120"/>
      <c r="D863" s="120"/>
      <c r="E863" s="120"/>
      <c r="L863" s="56"/>
    </row>
    <row r="864" spans="3:12" ht="15.75" customHeight="1" x14ac:dyDescent="0.25">
      <c r="C864" s="120"/>
      <c r="D864" s="120"/>
      <c r="E864" s="120"/>
      <c r="L864" s="56"/>
    </row>
    <row r="865" spans="3:12" ht="15.75" customHeight="1" x14ac:dyDescent="0.25">
      <c r="C865" s="120"/>
      <c r="D865" s="120"/>
      <c r="E865" s="120"/>
      <c r="L865" s="56"/>
    </row>
    <row r="866" spans="3:12" ht="15.75" customHeight="1" x14ac:dyDescent="0.25">
      <c r="C866" s="120"/>
      <c r="D866" s="120"/>
      <c r="E866" s="120"/>
      <c r="L866" s="56"/>
    </row>
    <row r="867" spans="3:12" ht="15.75" customHeight="1" x14ac:dyDescent="0.25">
      <c r="C867" s="120"/>
      <c r="D867" s="120"/>
      <c r="E867" s="120"/>
      <c r="L867" s="56"/>
    </row>
    <row r="868" spans="3:12" ht="15.75" customHeight="1" x14ac:dyDescent="0.25">
      <c r="C868" s="120"/>
      <c r="D868" s="120"/>
      <c r="E868" s="120"/>
      <c r="L868" s="56"/>
    </row>
    <row r="869" spans="3:12" ht="15.75" customHeight="1" x14ac:dyDescent="0.25">
      <c r="C869" s="120"/>
      <c r="D869" s="120"/>
      <c r="E869" s="120"/>
      <c r="L869" s="56"/>
    </row>
    <row r="870" spans="3:12" ht="15.75" customHeight="1" x14ac:dyDescent="0.25">
      <c r="C870" s="120"/>
      <c r="D870" s="120"/>
      <c r="E870" s="120"/>
      <c r="L870" s="56"/>
    </row>
    <row r="871" spans="3:12" ht="15.75" customHeight="1" x14ac:dyDescent="0.25">
      <c r="C871" s="120"/>
      <c r="D871" s="120"/>
      <c r="E871" s="120"/>
      <c r="L871" s="56"/>
    </row>
    <row r="872" spans="3:12" ht="15.75" customHeight="1" x14ac:dyDescent="0.25">
      <c r="C872" s="120"/>
      <c r="D872" s="120"/>
      <c r="E872" s="120"/>
      <c r="L872" s="56"/>
    </row>
    <row r="873" spans="3:12" ht="15.75" customHeight="1" x14ac:dyDescent="0.25">
      <c r="C873" s="120"/>
      <c r="D873" s="120"/>
      <c r="E873" s="120"/>
      <c r="L873" s="56"/>
    </row>
    <row r="874" spans="3:12" ht="15.75" customHeight="1" x14ac:dyDescent="0.25">
      <c r="C874" s="120"/>
      <c r="D874" s="120"/>
      <c r="E874" s="120"/>
      <c r="L874" s="56"/>
    </row>
    <row r="875" spans="3:12" ht="15.75" customHeight="1" x14ac:dyDescent="0.25">
      <c r="C875" s="120"/>
      <c r="D875" s="120"/>
      <c r="E875" s="120"/>
      <c r="L875" s="56"/>
    </row>
    <row r="876" spans="3:12" ht="15.75" customHeight="1" x14ac:dyDescent="0.25">
      <c r="C876" s="120"/>
      <c r="D876" s="120"/>
      <c r="E876" s="120"/>
      <c r="L876" s="56"/>
    </row>
    <row r="877" spans="3:12" ht="15.75" customHeight="1" x14ac:dyDescent="0.25">
      <c r="C877" s="120"/>
      <c r="D877" s="120"/>
      <c r="E877" s="120"/>
      <c r="L877" s="56"/>
    </row>
    <row r="878" spans="3:12" ht="15.75" customHeight="1" x14ac:dyDescent="0.25">
      <c r="C878" s="120"/>
      <c r="D878" s="120"/>
      <c r="E878" s="120"/>
      <c r="L878" s="56"/>
    </row>
    <row r="879" spans="3:12" ht="15.75" customHeight="1" x14ac:dyDescent="0.25">
      <c r="C879" s="120"/>
      <c r="D879" s="120"/>
      <c r="E879" s="120"/>
      <c r="L879" s="56"/>
    </row>
    <row r="880" spans="3:12" ht="15.75" customHeight="1" x14ac:dyDescent="0.25">
      <c r="C880" s="120"/>
      <c r="D880" s="120"/>
      <c r="E880" s="120"/>
      <c r="L880" s="56"/>
    </row>
    <row r="881" spans="3:12" ht="15.75" customHeight="1" x14ac:dyDescent="0.25">
      <c r="C881" s="120"/>
      <c r="D881" s="120"/>
      <c r="E881" s="120"/>
      <c r="L881" s="56"/>
    </row>
    <row r="882" spans="3:12" ht="15.75" customHeight="1" x14ac:dyDescent="0.25">
      <c r="C882" s="120"/>
      <c r="D882" s="120"/>
      <c r="E882" s="120"/>
      <c r="L882" s="56"/>
    </row>
    <row r="883" spans="3:12" ht="15.75" customHeight="1" x14ac:dyDescent="0.25">
      <c r="C883" s="120"/>
      <c r="D883" s="120"/>
      <c r="E883" s="120"/>
      <c r="L883" s="56"/>
    </row>
    <row r="884" spans="3:12" ht="15.75" customHeight="1" x14ac:dyDescent="0.25">
      <c r="C884" s="120"/>
      <c r="D884" s="120"/>
      <c r="E884" s="120"/>
      <c r="L884" s="56"/>
    </row>
    <row r="885" spans="3:12" ht="15.75" customHeight="1" x14ac:dyDescent="0.25">
      <c r="C885" s="120"/>
      <c r="D885" s="120"/>
      <c r="E885" s="120"/>
      <c r="L885" s="56"/>
    </row>
    <row r="886" spans="3:12" ht="15.75" customHeight="1" x14ac:dyDescent="0.25">
      <c r="C886" s="120"/>
      <c r="D886" s="120"/>
      <c r="E886" s="120"/>
      <c r="L886" s="56"/>
    </row>
    <row r="887" spans="3:12" ht="15.75" customHeight="1" x14ac:dyDescent="0.25">
      <c r="C887" s="120"/>
      <c r="D887" s="120"/>
      <c r="E887" s="120"/>
      <c r="L887" s="56"/>
    </row>
    <row r="888" spans="3:12" ht="15.75" customHeight="1" x14ac:dyDescent="0.25">
      <c r="C888" s="120"/>
      <c r="D888" s="120"/>
      <c r="E888" s="120"/>
      <c r="L888" s="56"/>
    </row>
    <row r="889" spans="3:12" ht="15.75" customHeight="1" x14ac:dyDescent="0.25">
      <c r="C889" s="120"/>
      <c r="D889" s="120"/>
      <c r="E889" s="120"/>
      <c r="L889" s="56"/>
    </row>
    <row r="890" spans="3:12" ht="15.75" customHeight="1" x14ac:dyDescent="0.25">
      <c r="C890" s="120"/>
      <c r="D890" s="120"/>
      <c r="E890" s="120"/>
      <c r="L890" s="56"/>
    </row>
    <row r="891" spans="3:12" ht="15.75" customHeight="1" x14ac:dyDescent="0.25">
      <c r="C891" s="120"/>
      <c r="D891" s="120"/>
      <c r="E891" s="120"/>
      <c r="L891" s="56"/>
    </row>
    <row r="892" spans="3:12" ht="15.75" customHeight="1" x14ac:dyDescent="0.25">
      <c r="C892" s="120"/>
      <c r="D892" s="120"/>
      <c r="E892" s="120"/>
      <c r="L892" s="56"/>
    </row>
    <row r="893" spans="3:12" ht="15.75" customHeight="1" x14ac:dyDescent="0.25">
      <c r="C893" s="120"/>
      <c r="D893" s="120"/>
      <c r="E893" s="120"/>
      <c r="L893" s="56"/>
    </row>
    <row r="894" spans="3:12" ht="15.75" customHeight="1" x14ac:dyDescent="0.25">
      <c r="C894" s="120"/>
      <c r="D894" s="120"/>
      <c r="E894" s="120"/>
      <c r="L894" s="56"/>
    </row>
    <row r="895" spans="3:12" ht="15.75" customHeight="1" x14ac:dyDescent="0.25">
      <c r="C895" s="120"/>
      <c r="D895" s="120"/>
      <c r="E895" s="120"/>
      <c r="L895" s="56"/>
    </row>
    <row r="896" spans="3:12" ht="15.75" customHeight="1" x14ac:dyDescent="0.25">
      <c r="C896" s="120"/>
      <c r="D896" s="120"/>
      <c r="E896" s="120"/>
      <c r="L896" s="56"/>
    </row>
    <row r="897" spans="3:12" ht="15.75" customHeight="1" x14ac:dyDescent="0.25">
      <c r="C897" s="120"/>
      <c r="D897" s="120"/>
      <c r="E897" s="120"/>
      <c r="L897" s="56"/>
    </row>
    <row r="898" spans="3:12" ht="15.75" customHeight="1" x14ac:dyDescent="0.25">
      <c r="C898" s="120"/>
      <c r="D898" s="120"/>
      <c r="E898" s="120"/>
      <c r="L898" s="56"/>
    </row>
    <row r="899" spans="3:12" ht="15.75" customHeight="1" x14ac:dyDescent="0.25">
      <c r="C899" s="120"/>
      <c r="D899" s="120"/>
      <c r="E899" s="120"/>
      <c r="L899" s="56"/>
    </row>
    <row r="900" spans="3:12" ht="15.75" customHeight="1" x14ac:dyDescent="0.25">
      <c r="C900" s="120"/>
      <c r="D900" s="120"/>
      <c r="E900" s="120"/>
      <c r="L900" s="56"/>
    </row>
    <row r="901" spans="3:12" ht="15.75" customHeight="1" x14ac:dyDescent="0.25">
      <c r="C901" s="120"/>
      <c r="D901" s="120"/>
      <c r="E901" s="120"/>
      <c r="L901" s="56"/>
    </row>
    <row r="902" spans="3:12" ht="15.75" customHeight="1" x14ac:dyDescent="0.25">
      <c r="C902" s="120"/>
      <c r="D902" s="120"/>
      <c r="E902" s="120"/>
      <c r="L902" s="56"/>
    </row>
    <row r="903" spans="3:12" ht="15.75" customHeight="1" x14ac:dyDescent="0.25">
      <c r="C903" s="120"/>
      <c r="D903" s="120"/>
      <c r="E903" s="120"/>
      <c r="L903" s="56"/>
    </row>
    <row r="904" spans="3:12" ht="15.75" customHeight="1" x14ac:dyDescent="0.25">
      <c r="C904" s="120"/>
      <c r="D904" s="120"/>
      <c r="E904" s="120"/>
      <c r="L904" s="56"/>
    </row>
    <row r="905" spans="3:12" ht="15.75" customHeight="1" x14ac:dyDescent="0.25">
      <c r="C905" s="120"/>
      <c r="D905" s="120"/>
      <c r="E905" s="120"/>
      <c r="L905" s="56"/>
    </row>
    <row r="906" spans="3:12" ht="15.75" customHeight="1" x14ac:dyDescent="0.25">
      <c r="C906" s="120"/>
      <c r="D906" s="120"/>
      <c r="E906" s="120"/>
      <c r="L906" s="56"/>
    </row>
    <row r="907" spans="3:12" ht="15.75" customHeight="1" x14ac:dyDescent="0.25">
      <c r="C907" s="120"/>
      <c r="D907" s="120"/>
      <c r="E907" s="120"/>
      <c r="L907" s="56"/>
    </row>
    <row r="908" spans="3:12" ht="15.75" customHeight="1" x14ac:dyDescent="0.25">
      <c r="C908" s="120"/>
      <c r="D908" s="120"/>
      <c r="E908" s="120"/>
      <c r="L908" s="56"/>
    </row>
    <row r="909" spans="3:12" ht="15.75" customHeight="1" x14ac:dyDescent="0.25">
      <c r="C909" s="120"/>
      <c r="D909" s="120"/>
      <c r="E909" s="120"/>
      <c r="L909" s="56"/>
    </row>
    <row r="910" spans="3:12" ht="15.75" customHeight="1" x14ac:dyDescent="0.25">
      <c r="C910" s="120"/>
      <c r="D910" s="120"/>
      <c r="E910" s="120"/>
      <c r="L910" s="56"/>
    </row>
    <row r="911" spans="3:12" ht="15.75" customHeight="1" x14ac:dyDescent="0.25">
      <c r="C911" s="120"/>
      <c r="D911" s="120"/>
      <c r="E911" s="120"/>
      <c r="L911" s="56"/>
    </row>
    <row r="912" spans="3:12" ht="15.75" customHeight="1" x14ac:dyDescent="0.25">
      <c r="C912" s="120"/>
      <c r="D912" s="120"/>
      <c r="E912" s="120"/>
      <c r="L912" s="56"/>
    </row>
    <row r="913" spans="3:12" ht="15.75" customHeight="1" x14ac:dyDescent="0.25">
      <c r="C913" s="120"/>
      <c r="D913" s="120"/>
      <c r="E913" s="120"/>
      <c r="L913" s="56"/>
    </row>
    <row r="914" spans="3:12" ht="15.75" customHeight="1" x14ac:dyDescent="0.25">
      <c r="C914" s="120"/>
      <c r="D914" s="120"/>
      <c r="E914" s="120"/>
      <c r="L914" s="56"/>
    </row>
    <row r="915" spans="3:12" ht="15.75" customHeight="1" x14ac:dyDescent="0.25">
      <c r="C915" s="120"/>
      <c r="D915" s="120"/>
      <c r="E915" s="120"/>
      <c r="L915" s="56"/>
    </row>
    <row r="916" spans="3:12" ht="15.75" customHeight="1" x14ac:dyDescent="0.25">
      <c r="C916" s="120"/>
      <c r="D916" s="120"/>
      <c r="E916" s="120"/>
      <c r="L916" s="56"/>
    </row>
    <row r="917" spans="3:12" ht="15.75" customHeight="1" x14ac:dyDescent="0.25">
      <c r="C917" s="120"/>
      <c r="D917" s="120"/>
      <c r="E917" s="120"/>
      <c r="L917" s="56"/>
    </row>
    <row r="918" spans="3:12" ht="15.75" customHeight="1" x14ac:dyDescent="0.25">
      <c r="C918" s="120"/>
      <c r="D918" s="120"/>
      <c r="E918" s="120"/>
      <c r="L918" s="56"/>
    </row>
    <row r="919" spans="3:12" ht="15.75" customHeight="1" x14ac:dyDescent="0.25">
      <c r="C919" s="120"/>
      <c r="D919" s="120"/>
      <c r="E919" s="120"/>
      <c r="L919" s="56"/>
    </row>
    <row r="920" spans="3:12" ht="15.75" customHeight="1" x14ac:dyDescent="0.25">
      <c r="C920" s="120"/>
      <c r="D920" s="120"/>
      <c r="E920" s="120"/>
      <c r="L920" s="56"/>
    </row>
    <row r="921" spans="3:12" ht="15.75" customHeight="1" x14ac:dyDescent="0.25">
      <c r="C921" s="120"/>
      <c r="D921" s="120"/>
      <c r="E921" s="120"/>
      <c r="L921" s="56"/>
    </row>
    <row r="922" spans="3:12" ht="15.75" customHeight="1" x14ac:dyDescent="0.25">
      <c r="C922" s="120"/>
      <c r="D922" s="120"/>
      <c r="E922" s="120"/>
      <c r="L922" s="56"/>
    </row>
    <row r="923" spans="3:12" ht="15.75" customHeight="1" x14ac:dyDescent="0.25">
      <c r="C923" s="120"/>
      <c r="D923" s="120"/>
      <c r="E923" s="120"/>
      <c r="L923" s="56"/>
    </row>
    <row r="924" spans="3:12" ht="15.75" customHeight="1" x14ac:dyDescent="0.25">
      <c r="C924" s="120"/>
      <c r="D924" s="120"/>
      <c r="E924" s="120"/>
      <c r="L924" s="56"/>
    </row>
    <row r="925" spans="3:12" ht="15.75" customHeight="1" x14ac:dyDescent="0.25">
      <c r="C925" s="120"/>
      <c r="D925" s="120"/>
      <c r="E925" s="120"/>
      <c r="L925" s="56"/>
    </row>
    <row r="926" spans="3:12" ht="15.75" customHeight="1" x14ac:dyDescent="0.25">
      <c r="C926" s="120"/>
      <c r="D926" s="120"/>
      <c r="E926" s="120"/>
      <c r="L926" s="56"/>
    </row>
    <row r="927" spans="3:12" ht="15.75" customHeight="1" x14ac:dyDescent="0.25">
      <c r="C927" s="120"/>
      <c r="D927" s="120"/>
      <c r="E927" s="120"/>
      <c r="L927" s="56"/>
    </row>
    <row r="928" spans="3:12" ht="15.75" customHeight="1" x14ac:dyDescent="0.25">
      <c r="C928" s="120"/>
      <c r="D928" s="120"/>
      <c r="E928" s="120"/>
      <c r="L928" s="56"/>
    </row>
    <row r="929" spans="3:12" ht="15.75" customHeight="1" x14ac:dyDescent="0.25">
      <c r="C929" s="120"/>
      <c r="D929" s="120"/>
      <c r="E929" s="120"/>
      <c r="L929" s="56"/>
    </row>
    <row r="930" spans="3:12" ht="15.75" customHeight="1" x14ac:dyDescent="0.25">
      <c r="C930" s="120"/>
      <c r="D930" s="120"/>
      <c r="E930" s="120"/>
      <c r="L930" s="56"/>
    </row>
    <row r="931" spans="3:12" ht="15.75" customHeight="1" x14ac:dyDescent="0.25">
      <c r="C931" s="120"/>
      <c r="D931" s="120"/>
      <c r="E931" s="120"/>
      <c r="L931" s="56"/>
    </row>
    <row r="932" spans="3:12" ht="15.75" customHeight="1" x14ac:dyDescent="0.25">
      <c r="C932" s="120"/>
      <c r="D932" s="120"/>
      <c r="E932" s="120"/>
      <c r="L932" s="56"/>
    </row>
    <row r="933" spans="3:12" ht="15.75" customHeight="1" x14ac:dyDescent="0.25">
      <c r="C933" s="120"/>
      <c r="D933" s="120"/>
      <c r="E933" s="120"/>
      <c r="L933" s="56"/>
    </row>
    <row r="934" spans="3:12" ht="15.75" customHeight="1" x14ac:dyDescent="0.25">
      <c r="C934" s="120"/>
      <c r="D934" s="120"/>
      <c r="E934" s="120"/>
      <c r="L934" s="56"/>
    </row>
    <row r="935" spans="3:12" ht="15.75" customHeight="1" x14ac:dyDescent="0.25">
      <c r="C935" s="120"/>
      <c r="D935" s="120"/>
      <c r="E935" s="120"/>
      <c r="L935" s="56"/>
    </row>
    <row r="936" spans="3:12" ht="15.75" customHeight="1" x14ac:dyDescent="0.25">
      <c r="C936" s="120"/>
      <c r="D936" s="120"/>
      <c r="E936" s="120"/>
      <c r="L936" s="56"/>
    </row>
    <row r="937" spans="3:12" ht="15.75" customHeight="1" x14ac:dyDescent="0.25">
      <c r="C937" s="120"/>
      <c r="D937" s="120"/>
      <c r="E937" s="120"/>
      <c r="L937" s="56"/>
    </row>
    <row r="938" spans="3:12" ht="15.75" customHeight="1" x14ac:dyDescent="0.25">
      <c r="C938" s="120"/>
      <c r="D938" s="120"/>
      <c r="E938" s="120"/>
      <c r="L938" s="56"/>
    </row>
    <row r="939" spans="3:12" ht="15.75" customHeight="1" x14ac:dyDescent="0.25">
      <c r="C939" s="120"/>
      <c r="D939" s="120"/>
      <c r="E939" s="120"/>
      <c r="L939" s="56"/>
    </row>
    <row r="940" spans="3:12" ht="15.75" customHeight="1" x14ac:dyDescent="0.25">
      <c r="C940" s="120"/>
      <c r="D940" s="120"/>
      <c r="E940" s="120"/>
      <c r="L940" s="56"/>
    </row>
    <row r="941" spans="3:12" ht="15.75" customHeight="1" x14ac:dyDescent="0.25">
      <c r="C941" s="120"/>
      <c r="D941" s="120"/>
      <c r="E941" s="120"/>
      <c r="L941" s="56"/>
    </row>
    <row r="942" spans="3:12" ht="15.75" customHeight="1" x14ac:dyDescent="0.25">
      <c r="C942" s="120"/>
      <c r="D942" s="120"/>
      <c r="E942" s="120"/>
      <c r="L942" s="56"/>
    </row>
    <row r="943" spans="3:12" ht="15.75" customHeight="1" x14ac:dyDescent="0.25">
      <c r="C943" s="120"/>
      <c r="D943" s="120"/>
      <c r="E943" s="120"/>
      <c r="L943" s="56"/>
    </row>
    <row r="944" spans="3:12" ht="15.75" customHeight="1" x14ac:dyDescent="0.25">
      <c r="C944" s="120"/>
      <c r="D944" s="120"/>
      <c r="E944" s="120"/>
      <c r="L944" s="56"/>
    </row>
    <row r="945" spans="3:12" ht="15.75" customHeight="1" x14ac:dyDescent="0.25">
      <c r="C945" s="120"/>
      <c r="D945" s="120"/>
      <c r="E945" s="120"/>
      <c r="L945" s="56"/>
    </row>
    <row r="946" spans="3:12" ht="15.75" customHeight="1" x14ac:dyDescent="0.25">
      <c r="C946" s="120"/>
      <c r="D946" s="120"/>
      <c r="E946" s="120"/>
      <c r="L946" s="56"/>
    </row>
    <row r="947" spans="3:12" ht="15.75" customHeight="1" x14ac:dyDescent="0.25">
      <c r="C947" s="120"/>
      <c r="D947" s="120"/>
      <c r="E947" s="120"/>
      <c r="L947" s="56"/>
    </row>
    <row r="948" spans="3:12" ht="15.75" customHeight="1" x14ac:dyDescent="0.25">
      <c r="C948" s="120"/>
      <c r="D948" s="120"/>
      <c r="E948" s="120"/>
      <c r="L948" s="56"/>
    </row>
    <row r="949" spans="3:12" ht="15.75" customHeight="1" x14ac:dyDescent="0.25">
      <c r="C949" s="120"/>
      <c r="D949" s="120"/>
      <c r="E949" s="120"/>
      <c r="L949" s="56"/>
    </row>
    <row r="950" spans="3:12" ht="15.75" customHeight="1" x14ac:dyDescent="0.25">
      <c r="C950" s="120"/>
      <c r="D950" s="120"/>
      <c r="E950" s="120"/>
      <c r="L950" s="56"/>
    </row>
    <row r="951" spans="3:12" ht="15.75" customHeight="1" x14ac:dyDescent="0.25">
      <c r="C951" s="120"/>
      <c r="D951" s="120"/>
      <c r="E951" s="120"/>
      <c r="L951" s="56"/>
    </row>
    <row r="952" spans="3:12" ht="15.75" customHeight="1" x14ac:dyDescent="0.25">
      <c r="C952" s="120"/>
      <c r="D952" s="120"/>
      <c r="E952" s="120"/>
      <c r="L952" s="56"/>
    </row>
    <row r="953" spans="3:12" ht="15.75" customHeight="1" x14ac:dyDescent="0.25">
      <c r="C953" s="120"/>
      <c r="D953" s="120"/>
      <c r="E953" s="120"/>
      <c r="L953" s="56"/>
    </row>
    <row r="954" spans="3:12" ht="15.75" customHeight="1" x14ac:dyDescent="0.25">
      <c r="C954" s="120"/>
      <c r="D954" s="120"/>
      <c r="E954" s="120"/>
      <c r="L954" s="56"/>
    </row>
    <row r="955" spans="3:12" ht="15.75" customHeight="1" x14ac:dyDescent="0.25">
      <c r="C955" s="120"/>
      <c r="D955" s="120"/>
      <c r="E955" s="120"/>
      <c r="L955" s="56"/>
    </row>
    <row r="956" spans="3:12" ht="15.75" customHeight="1" x14ac:dyDescent="0.25">
      <c r="C956" s="120"/>
      <c r="D956" s="120"/>
      <c r="E956" s="120"/>
      <c r="L956" s="56"/>
    </row>
    <row r="957" spans="3:12" ht="15.75" customHeight="1" x14ac:dyDescent="0.25">
      <c r="C957" s="120"/>
      <c r="D957" s="120"/>
      <c r="E957" s="120"/>
      <c r="L957" s="56"/>
    </row>
    <row r="958" spans="3:12" ht="15.75" customHeight="1" x14ac:dyDescent="0.25">
      <c r="C958" s="120"/>
      <c r="D958" s="120"/>
      <c r="E958" s="120"/>
      <c r="L958" s="56"/>
    </row>
    <row r="959" spans="3:12" ht="15.75" customHeight="1" x14ac:dyDescent="0.25">
      <c r="C959" s="120"/>
      <c r="D959" s="120"/>
      <c r="E959" s="120"/>
      <c r="L959" s="56"/>
    </row>
    <row r="960" spans="3:12" ht="15.75" customHeight="1" x14ac:dyDescent="0.25">
      <c r="C960" s="120"/>
      <c r="D960" s="120"/>
      <c r="E960" s="120"/>
      <c r="L960" s="56"/>
    </row>
    <row r="961" spans="3:12" ht="15.75" customHeight="1" x14ac:dyDescent="0.25">
      <c r="C961" s="120"/>
      <c r="D961" s="120"/>
      <c r="E961" s="120"/>
      <c r="L961" s="56"/>
    </row>
    <row r="962" spans="3:12" ht="15.75" customHeight="1" x14ac:dyDescent="0.25">
      <c r="C962" s="120"/>
      <c r="D962" s="120"/>
      <c r="E962" s="120"/>
      <c r="L962" s="56"/>
    </row>
    <row r="963" spans="3:12" ht="15.75" customHeight="1" x14ac:dyDescent="0.25">
      <c r="C963" s="120"/>
      <c r="D963" s="120"/>
      <c r="E963" s="120"/>
      <c r="L963" s="56"/>
    </row>
    <row r="964" spans="3:12" ht="15.75" customHeight="1" x14ac:dyDescent="0.25">
      <c r="C964" s="120"/>
      <c r="D964" s="120"/>
      <c r="E964" s="120"/>
      <c r="L964" s="56"/>
    </row>
    <row r="965" spans="3:12" ht="15.75" customHeight="1" x14ac:dyDescent="0.25">
      <c r="C965" s="120"/>
      <c r="D965" s="120"/>
      <c r="E965" s="120"/>
      <c r="L965" s="56"/>
    </row>
    <row r="966" spans="3:12" ht="15.75" customHeight="1" x14ac:dyDescent="0.25">
      <c r="C966" s="120"/>
      <c r="D966" s="120"/>
      <c r="E966" s="120"/>
      <c r="L966" s="56"/>
    </row>
    <row r="967" spans="3:12" ht="15.75" customHeight="1" x14ac:dyDescent="0.25">
      <c r="C967" s="120"/>
      <c r="D967" s="120"/>
      <c r="E967" s="120"/>
      <c r="L967" s="56"/>
    </row>
    <row r="968" spans="3:12" ht="15.75" customHeight="1" x14ac:dyDescent="0.25">
      <c r="C968" s="120"/>
      <c r="D968" s="120"/>
      <c r="E968" s="120"/>
      <c r="L968" s="56"/>
    </row>
    <row r="969" spans="3:12" ht="15.75" customHeight="1" x14ac:dyDescent="0.25">
      <c r="C969" s="120"/>
      <c r="D969" s="120"/>
      <c r="E969" s="120"/>
      <c r="L969" s="56"/>
    </row>
    <row r="970" spans="3:12" ht="15.75" customHeight="1" x14ac:dyDescent="0.25">
      <c r="C970" s="120"/>
      <c r="D970" s="120"/>
      <c r="E970" s="120"/>
      <c r="L970" s="56"/>
    </row>
    <row r="971" spans="3:12" ht="15.75" customHeight="1" x14ac:dyDescent="0.25">
      <c r="C971" s="120"/>
      <c r="D971" s="120"/>
      <c r="E971" s="120"/>
      <c r="L971" s="56"/>
    </row>
    <row r="972" spans="3:12" ht="15.75" customHeight="1" x14ac:dyDescent="0.25">
      <c r="C972" s="120"/>
      <c r="D972" s="120"/>
      <c r="E972" s="120"/>
      <c r="L972" s="56"/>
    </row>
    <row r="973" spans="3:12" ht="15.75" customHeight="1" x14ac:dyDescent="0.25">
      <c r="C973" s="120"/>
      <c r="D973" s="120"/>
      <c r="E973" s="120"/>
      <c r="L973" s="56"/>
    </row>
    <row r="974" spans="3:12" ht="15.75" customHeight="1" x14ac:dyDescent="0.25">
      <c r="C974" s="120"/>
      <c r="D974" s="120"/>
      <c r="E974" s="120"/>
      <c r="L974" s="56"/>
    </row>
    <row r="975" spans="3:12" ht="15.75" customHeight="1" x14ac:dyDescent="0.25">
      <c r="C975" s="120"/>
      <c r="D975" s="120"/>
      <c r="E975" s="120"/>
      <c r="L975" s="56"/>
    </row>
    <row r="976" spans="3:12" ht="15.75" customHeight="1" x14ac:dyDescent="0.25">
      <c r="C976" s="120"/>
      <c r="D976" s="120"/>
      <c r="E976" s="120"/>
      <c r="L976" s="56"/>
    </row>
    <row r="977" spans="3:12" ht="15.75" customHeight="1" x14ac:dyDescent="0.25">
      <c r="C977" s="120"/>
      <c r="D977" s="120"/>
      <c r="E977" s="120"/>
      <c r="L977" s="56"/>
    </row>
    <row r="978" spans="3:12" ht="15.75" customHeight="1" x14ac:dyDescent="0.25">
      <c r="C978" s="120"/>
      <c r="D978" s="120"/>
      <c r="E978" s="120"/>
      <c r="L978" s="56"/>
    </row>
    <row r="979" spans="3:12" ht="15.75" customHeight="1" x14ac:dyDescent="0.25">
      <c r="C979" s="120"/>
      <c r="D979" s="120"/>
      <c r="E979" s="120"/>
      <c r="L979" s="56"/>
    </row>
    <row r="980" spans="3:12" ht="15.75" customHeight="1" x14ac:dyDescent="0.25">
      <c r="C980" s="120"/>
      <c r="D980" s="120"/>
      <c r="E980" s="120"/>
      <c r="L980" s="56"/>
    </row>
    <row r="981" spans="3:12" ht="15.75" customHeight="1" x14ac:dyDescent="0.25">
      <c r="C981" s="120"/>
      <c r="D981" s="120"/>
      <c r="E981" s="120"/>
      <c r="L981" s="56"/>
    </row>
    <row r="982" spans="3:12" ht="15.75" customHeight="1" x14ac:dyDescent="0.25">
      <c r="C982" s="120"/>
      <c r="D982" s="120"/>
      <c r="E982" s="120"/>
      <c r="L982" s="56"/>
    </row>
    <row r="983" spans="3:12" ht="15.75" customHeight="1" x14ac:dyDescent="0.25">
      <c r="C983" s="120"/>
      <c r="D983" s="120"/>
      <c r="E983" s="120"/>
      <c r="L983" s="56"/>
    </row>
    <row r="984" spans="3:12" ht="15.75" customHeight="1" x14ac:dyDescent="0.25">
      <c r="C984" s="120"/>
      <c r="D984" s="120"/>
      <c r="E984" s="120"/>
      <c r="L984" s="56"/>
    </row>
    <row r="985" spans="3:12" ht="15.75" customHeight="1" x14ac:dyDescent="0.25">
      <c r="C985" s="120"/>
      <c r="D985" s="120"/>
      <c r="E985" s="120"/>
      <c r="L985" s="56"/>
    </row>
    <row r="986" spans="3:12" ht="15.75" customHeight="1" x14ac:dyDescent="0.25">
      <c r="C986" s="120"/>
      <c r="D986" s="120"/>
      <c r="E986" s="120"/>
      <c r="L986" s="56"/>
    </row>
    <row r="987" spans="3:12" ht="15.75" customHeight="1" x14ac:dyDescent="0.25">
      <c r="C987" s="120"/>
      <c r="D987" s="120"/>
      <c r="E987" s="120"/>
      <c r="L987" s="56"/>
    </row>
    <row r="988" spans="3:12" ht="15.75" customHeight="1" x14ac:dyDescent="0.25">
      <c r="C988" s="120"/>
      <c r="D988" s="120"/>
      <c r="E988" s="120"/>
      <c r="L988" s="56"/>
    </row>
    <row r="989" spans="3:12" ht="15.75" customHeight="1" x14ac:dyDescent="0.25">
      <c r="C989" s="120"/>
      <c r="D989" s="120"/>
      <c r="E989" s="120"/>
      <c r="L989" s="56"/>
    </row>
    <row r="990" spans="3:12" ht="15.75" customHeight="1" x14ac:dyDescent="0.25">
      <c r="C990" s="120"/>
      <c r="D990" s="120"/>
      <c r="E990" s="120"/>
      <c r="L990" s="56"/>
    </row>
    <row r="991" spans="3:12" ht="15.75" customHeight="1" x14ac:dyDescent="0.25">
      <c r="C991" s="120"/>
      <c r="D991" s="120"/>
      <c r="E991" s="120"/>
      <c r="L991" s="56"/>
    </row>
    <row r="992" spans="3:12" ht="15.75" customHeight="1" x14ac:dyDescent="0.25">
      <c r="C992" s="120"/>
      <c r="D992" s="120"/>
      <c r="E992" s="120"/>
      <c r="L992" s="56"/>
    </row>
    <row r="993" spans="3:12" ht="15.75" customHeight="1" x14ac:dyDescent="0.25">
      <c r="C993" s="120"/>
      <c r="D993" s="120"/>
      <c r="E993" s="120"/>
      <c r="L993" s="56"/>
    </row>
    <row r="994" spans="3:12" ht="15.75" customHeight="1" x14ac:dyDescent="0.25">
      <c r="C994" s="120"/>
      <c r="D994" s="120"/>
      <c r="E994" s="120"/>
      <c r="L994" s="56"/>
    </row>
    <row r="995" spans="3:12" ht="15.75" customHeight="1" x14ac:dyDescent="0.25">
      <c r="C995" s="120"/>
      <c r="D995" s="120"/>
      <c r="E995" s="120"/>
      <c r="L995" s="56"/>
    </row>
    <row r="996" spans="3:12" ht="15.75" customHeight="1" x14ac:dyDescent="0.25">
      <c r="C996" s="120"/>
      <c r="D996" s="120"/>
      <c r="E996" s="120"/>
      <c r="L996" s="56"/>
    </row>
    <row r="997" spans="3:12" ht="15.75" customHeight="1" x14ac:dyDescent="0.25">
      <c r="C997" s="120"/>
      <c r="D997" s="120"/>
      <c r="E997" s="120"/>
      <c r="L997" s="56"/>
    </row>
    <row r="998" spans="3:12" ht="15.75" customHeight="1" x14ac:dyDescent="0.25">
      <c r="C998" s="120"/>
      <c r="D998" s="120"/>
      <c r="E998" s="120"/>
      <c r="L998" s="56"/>
    </row>
    <row r="999" spans="3:12" ht="15.75" customHeight="1" x14ac:dyDescent="0.25">
      <c r="C999" s="120"/>
      <c r="D999" s="120"/>
      <c r="E999" s="120"/>
      <c r="L999" s="56"/>
    </row>
    <row r="1000" spans="3:12" ht="15.75" customHeight="1" x14ac:dyDescent="0.25">
      <c r="C1000" s="120"/>
      <c r="D1000" s="120"/>
      <c r="E1000" s="120"/>
      <c r="L1000" s="56"/>
    </row>
  </sheetData>
  <sheetProtection algorithmName="SHA-512" hashValue="zhMY6jw2EkH0e5d2opBSTviywYbQeUxrqT3EP7SfSXc2vvpBogvVZvq22eF634xBHpwMpOAgoV91/XRDkaxe3w==" saltValue="FjMEHkak6x9jR6ynB8DqPw==" spinCount="100000" sheet="1" objects="1" scenarios="1"/>
  <mergeCells count="1">
    <mergeCell ref="C3:L3"/>
  </mergeCells>
  <pageMargins left="0.25" right="0.25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R1000"/>
  <sheetViews>
    <sheetView topLeftCell="AH1" workbookViewId="0">
      <selection activeCell="AQ10" sqref="AQ10"/>
    </sheetView>
  </sheetViews>
  <sheetFormatPr defaultColWidth="14.42578125" defaultRowHeight="15" customHeight="1" x14ac:dyDescent="0.25"/>
  <cols>
    <col min="1" max="1" width="2.85546875" customWidth="1"/>
    <col min="2" max="2" width="9.85546875" customWidth="1"/>
    <col min="3" max="3" width="8.42578125" customWidth="1"/>
    <col min="4" max="4" width="2.85546875" customWidth="1"/>
    <col min="5" max="6" width="9.85546875" customWidth="1"/>
    <col min="7" max="7" width="2.85546875" customWidth="1"/>
    <col min="8" max="8" width="6.140625" customWidth="1"/>
    <col min="9" max="9" width="10.42578125" customWidth="1"/>
    <col min="10" max="10" width="7.140625" customWidth="1"/>
    <col min="11" max="11" width="8.42578125" customWidth="1"/>
    <col min="12" max="13" width="9.5703125" customWidth="1"/>
    <col min="14" max="14" width="2.85546875" customWidth="1"/>
    <col min="15" max="15" width="6.140625" customWidth="1"/>
    <col min="16" max="16" width="10.42578125" customWidth="1"/>
    <col min="17" max="18" width="7.140625" customWidth="1"/>
    <col min="19" max="20" width="9.5703125" customWidth="1"/>
    <col min="21" max="21" width="2.85546875" customWidth="1"/>
    <col min="22" max="22" width="6.140625" customWidth="1"/>
    <col min="23" max="23" width="10.42578125" customWidth="1"/>
    <col min="24" max="25" width="7.140625" customWidth="1"/>
    <col min="26" max="27" width="9.5703125" customWidth="1"/>
    <col min="28" max="28" width="2.85546875" customWidth="1"/>
    <col min="29" max="29" width="6.140625" customWidth="1"/>
    <col min="30" max="30" width="10.42578125" customWidth="1"/>
    <col min="31" max="32" width="7.140625" customWidth="1"/>
    <col min="33" max="34" width="9.5703125" customWidth="1"/>
    <col min="35" max="35" width="8.7109375" customWidth="1"/>
    <col min="36" max="36" width="12.28515625" customWidth="1"/>
    <col min="37" max="37" width="14.140625" bestFit="1" customWidth="1"/>
    <col min="38" max="38" width="8.7109375" customWidth="1"/>
    <col min="39" max="39" width="12.140625" bestFit="1" customWidth="1"/>
    <col min="40" max="40" width="9.140625" bestFit="1" customWidth="1"/>
    <col min="41" max="41" width="8.7109375" customWidth="1"/>
    <col min="42" max="42" width="10" customWidth="1"/>
    <col min="43" max="43" width="10.140625" bestFit="1" customWidth="1"/>
    <col min="44" max="44" width="8.7109375" customWidth="1"/>
  </cols>
  <sheetData>
    <row r="1" spans="2:43" x14ac:dyDescent="0.25">
      <c r="J1" s="23"/>
      <c r="K1" s="23"/>
      <c r="L1" s="23"/>
      <c r="M1" s="23"/>
      <c r="R1" s="23"/>
      <c r="S1" s="23"/>
      <c r="T1" s="23"/>
    </row>
    <row r="2" spans="2:43" x14ac:dyDescent="0.25">
      <c r="I2" s="269" t="s">
        <v>115</v>
      </c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</row>
    <row r="3" spans="2:43" x14ac:dyDescent="0.25">
      <c r="J3" s="23"/>
      <c r="K3" s="23"/>
      <c r="L3" s="23"/>
      <c r="M3" s="23"/>
      <c r="R3" s="23"/>
      <c r="S3" s="23"/>
      <c r="T3" s="23"/>
    </row>
    <row r="4" spans="2:43" x14ac:dyDescent="0.25">
      <c r="E4" s="167" t="s">
        <v>116</v>
      </c>
      <c r="F4" s="168">
        <f>1-'Payment Summaries'!$E$15</f>
        <v>0.8</v>
      </c>
      <c r="I4" s="267" t="s">
        <v>117</v>
      </c>
      <c r="J4" s="268"/>
      <c r="K4" s="268"/>
      <c r="L4" s="268"/>
      <c r="M4" s="205"/>
      <c r="P4" s="267" t="s">
        <v>118</v>
      </c>
      <c r="Q4" s="268"/>
      <c r="R4" s="268"/>
      <c r="S4" s="268"/>
      <c r="T4" s="205"/>
      <c r="V4" s="168"/>
      <c r="W4" s="267" t="s">
        <v>119</v>
      </c>
      <c r="X4" s="268"/>
      <c r="Y4" s="268"/>
      <c r="Z4" s="268"/>
      <c r="AA4" s="205"/>
      <c r="AD4" s="267" t="s">
        <v>120</v>
      </c>
      <c r="AE4" s="268"/>
      <c r="AF4" s="268"/>
      <c r="AG4" s="268"/>
      <c r="AH4" s="205"/>
      <c r="AI4" s="169"/>
      <c r="AJ4" s="267" t="s">
        <v>121</v>
      </c>
      <c r="AK4" s="268"/>
      <c r="AL4" s="268"/>
      <c r="AM4" s="268"/>
      <c r="AN4" s="268"/>
      <c r="AO4" s="205"/>
      <c r="AQ4" s="167">
        <v>1</v>
      </c>
    </row>
    <row r="5" spans="2:43" x14ac:dyDescent="0.25">
      <c r="E5" s="167" t="s">
        <v>12</v>
      </c>
      <c r="F5" s="167">
        <f>'Payment Summaries'!$E$16</f>
        <v>771</v>
      </c>
      <c r="I5" s="170" t="s">
        <v>122</v>
      </c>
      <c r="J5" s="171" t="s">
        <v>123</v>
      </c>
      <c r="K5" s="171" t="s">
        <v>124</v>
      </c>
      <c r="L5" s="171" t="s">
        <v>125</v>
      </c>
      <c r="M5" s="171" t="s">
        <v>126</v>
      </c>
      <c r="P5" s="170" t="s">
        <v>122</v>
      </c>
      <c r="Q5" s="171" t="s">
        <v>123</v>
      </c>
      <c r="R5" s="171" t="s">
        <v>124</v>
      </c>
      <c r="S5" s="171" t="s">
        <v>125</v>
      </c>
      <c r="T5" s="171" t="s">
        <v>126</v>
      </c>
      <c r="W5" s="170" t="s">
        <v>122</v>
      </c>
      <c r="X5" s="171" t="s">
        <v>123</v>
      </c>
      <c r="Y5" s="171" t="s">
        <v>124</v>
      </c>
      <c r="Z5" s="171" t="s">
        <v>125</v>
      </c>
      <c r="AA5" s="171" t="s">
        <v>126</v>
      </c>
      <c r="AD5" s="170" t="s">
        <v>122</v>
      </c>
      <c r="AE5" s="171" t="s">
        <v>123</v>
      </c>
      <c r="AF5" s="171" t="s">
        <v>124</v>
      </c>
      <c r="AG5" s="171" t="s">
        <v>125</v>
      </c>
      <c r="AH5" s="171" t="s">
        <v>126</v>
      </c>
      <c r="AI5" s="23"/>
      <c r="AJ5" s="171" t="s">
        <v>127</v>
      </c>
      <c r="AK5" s="172" t="s">
        <v>128</v>
      </c>
      <c r="AL5" s="170" t="s">
        <v>129</v>
      </c>
      <c r="AM5" s="170" t="s">
        <v>130</v>
      </c>
      <c r="AN5" s="170" t="s">
        <v>131</v>
      </c>
      <c r="AO5" s="170" t="s">
        <v>132</v>
      </c>
      <c r="AQ5" s="173" t="s">
        <v>15</v>
      </c>
    </row>
    <row r="6" spans="2:43" x14ac:dyDescent="0.25">
      <c r="E6" s="167" t="s">
        <v>133</v>
      </c>
      <c r="F6" s="167" t="str">
        <f>'Payment Summaries'!$E$17</f>
        <v>Multi</v>
      </c>
      <c r="H6" s="168">
        <f>IF($F$5&gt;=800,J15,IF($F$5&gt;=780,J14,IF($F$5&gt;=760,J13,IF($F$5&gt;=740,J12,IF($F$5&gt;=720,J11,IF($F$5&gt;=700,J10,IF($F$5&gt;=680,J9,IF($F$5&gt;=660,J8,IF($F$5&gt;=640,J7,IF($F$5&gt;=620,J6,0))))))))))</f>
        <v>4.4999999999999997E-3</v>
      </c>
      <c r="I6" s="170" t="s">
        <v>134</v>
      </c>
      <c r="J6" s="174">
        <v>1.8599999999999998E-2</v>
      </c>
      <c r="K6" s="171"/>
      <c r="L6" s="174">
        <v>6.5500000000000003E-2</v>
      </c>
      <c r="M6" s="174">
        <v>5.21E-2</v>
      </c>
      <c r="O6" s="168">
        <f>IF($F$5&gt;=800,Q15,IF($F$5&gt;=780,Q14,IF($F$5&gt;=760,Q13,IF($F$5&gt;=740,Q12,IF($F$5&gt;=720,Q11,IF($F$5&gt;=700,Q10,IF($F$5&gt;=680,Q9,IF($F$5&gt;=660,Q8,IF($F$5&gt;=640,Q7,IF($F$5&gt;=620,Q6,0))))))))))</f>
        <v>2E-3</v>
      </c>
      <c r="P6" s="170" t="s">
        <v>134</v>
      </c>
      <c r="Q6" s="174">
        <v>8.5000000000000006E-3</v>
      </c>
      <c r="R6" s="171"/>
      <c r="S6" s="174">
        <v>3.8399999999999997E-2</v>
      </c>
      <c r="T6" s="174">
        <v>2.81E-2</v>
      </c>
      <c r="V6" s="168">
        <f>IF($F$5&gt;=800,X15,IF($F$5&gt;=780,X14,IF($F$5&gt;=760,X13,IF($F$5&gt;=740,X12,IF($F$5&gt;=720,X11,IF($F$5&gt;=700,X10,IF($F$5&gt;=680,X9,IF($F$5&gt;=660,X8,IF($F$5&gt;=640,X7,IF($F$5&gt;=620,X6,0))))))))))</f>
        <v>3.8E-3</v>
      </c>
      <c r="W6" s="170" t="s">
        <v>134</v>
      </c>
      <c r="X6" s="174">
        <v>1.6799999999999999E-2</v>
      </c>
      <c r="Y6" s="171"/>
      <c r="Z6" s="174">
        <v>6.2799999999999995E-2</v>
      </c>
      <c r="AA6" s="174">
        <v>5.21E-2</v>
      </c>
      <c r="AC6" s="168">
        <f>IF($F$5&gt;=800,AE15,IF($F$5&gt;=780,AE14,IF($F$5&gt;=760,AE13,IF($F$5&gt;=740,AE12,IF($F$5&gt;=720,AE11,IF($F$5&gt;=700,AE10,IF($F$5&gt;=680,AE9,IF($F$5&gt;=660,AE8,IF($F$5&gt;=640,AE7,IF($F$5&gt;=620,AE6,0))))))))))</f>
        <v>1.8E-3</v>
      </c>
      <c r="AD6" s="170" t="s">
        <v>134</v>
      </c>
      <c r="AE6" s="174">
        <v>7.0000000000000001E-3</v>
      </c>
      <c r="AF6" s="171"/>
      <c r="AG6" s="174">
        <v>3.6900000000000002E-2</v>
      </c>
      <c r="AH6" s="174">
        <v>2.81E-2</v>
      </c>
      <c r="AI6" s="23"/>
      <c r="AJ6" s="175">
        <f>ROUNDUP('Payment Summaries'!E9,-3)</f>
        <v>750000</v>
      </c>
      <c r="AK6" s="175">
        <f>ROUND(IF(AJ6&lt;0,AJ6,IF(AJ6&lt;100001,AJ6*0.525%,IF(AJ6&gt;2000000,6350+(AJ6-2000000)*0.2%,IF(AJ6&gt;500000,2225+(AJ6-500000)*0.275%,IF(AJ6&gt;100000,525+(AJ6-100000)*0.425%,))))),0)</f>
        <v>2913</v>
      </c>
      <c r="AL6" s="176">
        <v>0.1</v>
      </c>
      <c r="AM6" s="175">
        <f>ROUNDUP(AJ6*(1-AL6),-3)</f>
        <v>675000</v>
      </c>
      <c r="AN6" s="177">
        <f>IF(AM6&lt;0,AM6,IF(AM6&lt;100001,AM6*0.525%,IF(AM6&gt;2000000,6350+(AM6-2000000)*0.2%,IF(AM6&gt;500000,2225+(AM6-500000)*0.275%,IF(AM6&gt;100000,525+(AM6-100000)*0.425%,)))))</f>
        <v>2706.25</v>
      </c>
      <c r="AO6" s="177">
        <f>AK6-AN6+25</f>
        <v>231.75</v>
      </c>
    </row>
    <row r="7" spans="2:43" x14ac:dyDescent="0.25">
      <c r="B7" s="167" t="s">
        <v>123</v>
      </c>
      <c r="C7" s="168">
        <f>IF('Payment Summaries'!$E$19="No",F7,F35)</f>
        <v>0</v>
      </c>
      <c r="E7" s="167" t="s">
        <v>123</v>
      </c>
      <c r="F7" s="178">
        <f>IF($F$4&gt;0.97,0,IF(AND($F$4&gt;0.95,$F$6=1),H6,IF(AND($F$4&gt;0.95,$F$6="Multi"),V6,IF(AND($F$4&gt;0.9,$F$6=1),H19,IF(AND($F$4&gt;0.9,$F$6="Multi"),V19,IF(AND($F$4&gt;0.85,$F$6=1),O6,IF(AND($F$4&gt;0.85,$F$6="Multi"),AC6,IF(AND($F$4&gt;0.8,$F$6=1),O19,IF(AND($F$4&gt;0.8,$F$6="Multi"),AC19,)))))))))</f>
        <v>0</v>
      </c>
      <c r="H7" s="168">
        <f>IF($F$5&gt;=800,K15,IF($F$5&gt;=780,K14,IF($F$5&gt;=760,K13,IF($F$5&gt;=740,K12,IF($F$5&gt;=720,K11,IF($F$5&gt;=700,K10,IF($F$5&gt;=680,K9,IF($F$5&gt;=660,K8,IF($F$5&gt;=640,K7,IF($F$5&gt;=620,K6,0))))))))))</f>
        <v>6.2500000000000003E-3</v>
      </c>
      <c r="I7" s="170" t="s">
        <v>135</v>
      </c>
      <c r="J7" s="174">
        <v>1.6500000000000001E-2</v>
      </c>
      <c r="K7" s="171"/>
      <c r="L7" s="174">
        <v>5.9799999999999999E-2</v>
      </c>
      <c r="M7" s="174">
        <v>4.9299999999999997E-2</v>
      </c>
      <c r="O7" s="168">
        <f>IF($F$5&gt;=800,R15,IF($F$5&gt;=780,R14,IF($F$5&gt;=760,R13,IF($F$5&gt;=740,R12,IF($F$5&gt;=720,R11,IF($F$5&gt;=700,R10,IF($F$5&gt;=680,R9,IF($F$5&gt;=660,R8,IF($F$5&gt;=640,R7,IF($F$5&gt;=620,R6,0))))))))))</f>
        <v>3.5000000000000001E-3</v>
      </c>
      <c r="P7" s="170" t="s">
        <v>135</v>
      </c>
      <c r="Q7" s="174">
        <v>8.5000000000000006E-3</v>
      </c>
      <c r="R7" s="171"/>
      <c r="S7" s="174">
        <v>3.5099999999999999E-2</v>
      </c>
      <c r="T7" s="174">
        <v>2.6499999999999999E-2</v>
      </c>
      <c r="V7" s="168">
        <f>IF($F$5&gt;=800,Y15,IF($F$5&gt;=780,Y14,IF($F$5&gt;=760,Y13,IF($F$5&gt;=740,Y12,IF($F$5&gt;=720,Y11,IF($F$5&gt;=700,Y10,IF($F$5&gt;=680,Y9,IF($F$5&gt;=660,Y8,IF($F$5&gt;=640,Y7,IF($F$5&gt;=620,Y6,0))))))))))</f>
        <v>5.4999999999999997E-3</v>
      </c>
      <c r="W7" s="170" t="s">
        <v>135</v>
      </c>
      <c r="X7" s="174">
        <v>1.47E-2</v>
      </c>
      <c r="Y7" s="171"/>
      <c r="Z7" s="174">
        <v>5.7500000000000002E-2</v>
      </c>
      <c r="AA7" s="174">
        <v>4.7E-2</v>
      </c>
      <c r="AC7" s="168">
        <f>IF($F$5&gt;=800,AF15,IF($F$5&gt;=780,AF14,IF($F$5&gt;=760,AF13,IF($F$5&gt;=740,AF12,IF($F$5&gt;=720,AF11,IF($F$5&gt;=700,AF10,IF($F$5&gt;=680,AF9,IF($F$5&gt;=660,AF8,IF($F$5&gt;=640,AF7,IF($F$5&gt;=620,AF6,0))))))))))</f>
        <v>3.0000000000000001E-3</v>
      </c>
      <c r="AD7" s="170" t="s">
        <v>135</v>
      </c>
      <c r="AE7" s="174">
        <v>7.1000000000000004E-3</v>
      </c>
      <c r="AF7" s="171"/>
      <c r="AG7" s="174">
        <v>3.39E-2</v>
      </c>
      <c r="AH7" s="174">
        <v>2.53E-2</v>
      </c>
      <c r="AI7" s="23"/>
    </row>
    <row r="8" spans="2:43" x14ac:dyDescent="0.25">
      <c r="B8" s="167" t="s">
        <v>124</v>
      </c>
      <c r="C8" s="168">
        <f>IF('Payment Summaries'!$E$19="No",F8,F36)</f>
        <v>0</v>
      </c>
      <c r="E8" s="167" t="s">
        <v>124</v>
      </c>
      <c r="F8" s="179">
        <f>IF($F$4&gt;0.97,0,IF(AND($F$4&gt;0.95,$F$6=1),F12+H7,IF(AND($F$4&gt;0.95,$F$6="Multi"),F12+V7,IF(AND($F$4&gt;0.9,$F$6=1),F12+H20,IF(AND($F$4&gt;0.9,$F$6="Multi"),F12+V20,IF(AND($F$4&gt;0.85,$F$6=1),F12+O7,IF(AND($F$4&gt;0.85,$F$6="Multi"),F12+AC7,IF(AND($F$4&gt;0.8,$F$6=1),F12+O20,IF(AND($F$4&gt;0.8,$F$6="Multi"),F12+AC20,)))))))))</f>
        <v>0</v>
      </c>
      <c r="G8" s="23"/>
      <c r="H8" s="168">
        <f>IF($F$5&gt;=800,L15,IF($F$5&gt;=780,L14,IF($F$5&gt;=760,L13,IF($F$5&gt;=740,L12,IF($F$5&gt;=720,L11,IF($F$5&gt;=700,L10,IF($F$5&gt;=680,L9,IF($F$5&gt;=660,L8,IF($F$5&gt;=640,L7,IF($F$5&gt;=620,L6,0))))))))))</f>
        <v>1.5100000000000001E-2</v>
      </c>
      <c r="I8" s="170" t="s">
        <v>136</v>
      </c>
      <c r="J8" s="174">
        <v>1.46E-2</v>
      </c>
      <c r="K8" s="171"/>
      <c r="L8" s="174">
        <v>5.5199999999999999E-2</v>
      </c>
      <c r="M8" s="174">
        <v>4.65E-2</v>
      </c>
      <c r="O8" s="168">
        <f>IF($F$5&gt;=800,S15,IF($F$5&gt;=780,S14,IF($F$5&gt;=760,S13,IF($F$5&gt;=740,S12,IF($F$5&gt;=720,S11,IF($F$5&gt;=700,S10,IF($F$5&gt;=680,S9,IF($F$5&gt;=660,S8,IF($F$5&gt;=640,S7,IF($F$5&gt;=620,S6,0))))))))))</f>
        <v>9.4000000000000004E-3</v>
      </c>
      <c r="P8" s="170" t="s">
        <v>136</v>
      </c>
      <c r="Q8" s="174">
        <v>7.7000000000000002E-3</v>
      </c>
      <c r="R8" s="171"/>
      <c r="S8" s="174">
        <v>3.2800000000000003E-2</v>
      </c>
      <c r="T8" s="174">
        <v>2.5000000000000001E-2</v>
      </c>
      <c r="V8" s="168">
        <f>IF($F$5&gt;=800,Z15,IF($F$5&gt;=780,Z14,IF($F$5&gt;=760,Z13,IF($F$5&gt;=740,Z12,IF($F$5&gt;=720,Z11,IF($F$5&gt;=700,Z10,IF($F$5&gt;=680,Z9,IF($F$5&gt;=660,Z8,IF($F$5&gt;=640,Z7,IF($F$5&gt;=620,Z6,0))))))))))</f>
        <v>1.3299999999999999E-2</v>
      </c>
      <c r="W8" s="170" t="s">
        <v>136</v>
      </c>
      <c r="X8" s="174">
        <v>1.2999999999999999E-2</v>
      </c>
      <c r="Y8" s="171"/>
      <c r="Z8" s="174">
        <v>5.2999999999999999E-2</v>
      </c>
      <c r="AA8" s="174">
        <v>4.4299999999999999E-2</v>
      </c>
      <c r="AC8" s="168">
        <f>IF($F$5&gt;=800,AG15,IF($F$5&gt;=780,AG14,IF($F$5&gt;=760,AG13,IF($F$5&gt;=740,AG12,IF($F$5&gt;=720,AG11,IF($F$5&gt;=700,AG10,IF($F$5&gt;=680,AG9,IF($F$5&gt;=660,AG8,IF($F$5&gt;=640,AG7,IF($F$5&gt;=620,AG6,0))))))))))</f>
        <v>8.3999999999999995E-3</v>
      </c>
      <c r="AD8" s="170" t="s">
        <v>136</v>
      </c>
      <c r="AE8" s="174">
        <v>6.6E-3</v>
      </c>
      <c r="AF8" s="171"/>
      <c r="AG8" s="174">
        <v>3.2000000000000001E-2</v>
      </c>
      <c r="AH8" s="174">
        <v>2.3900000000000001E-2</v>
      </c>
      <c r="AI8" s="23"/>
      <c r="AJ8" s="267" t="s">
        <v>137</v>
      </c>
      <c r="AK8" s="268"/>
      <c r="AL8" s="268"/>
      <c r="AM8" s="205"/>
      <c r="AP8" s="167" t="s">
        <v>138</v>
      </c>
      <c r="AQ8" s="65">
        <v>806500</v>
      </c>
    </row>
    <row r="9" spans="2:43" x14ac:dyDescent="0.25">
      <c r="B9" s="167" t="s">
        <v>125</v>
      </c>
      <c r="C9" s="168">
        <f>IF('Payment Summaries'!$E$19="No",F9,F37)</f>
        <v>0</v>
      </c>
      <c r="E9" s="167" t="s">
        <v>125</v>
      </c>
      <c r="F9" s="178">
        <f t="shared" ref="F9:F10" si="0">IF($F$4&gt;0.97,0,IF(AND($F$4&gt;0.95,$F$6=1),H8,IF(AND($F$4&gt;0.95,$F$6="Multi"),V8,IF(AND($F$4&gt;0.9,$F$6=1),H21,IF(AND($F$4&gt;0.9,$F$6="Multi"),V21,IF(AND($F$4&gt;0.85,$F$6=1),O8,IF(AND($F$4&gt;0.85,$F$6="Multi"),AC8,IF(AND($F$4&gt;0.8,$F$6=1),O21,IF(AND($F$4&gt;0.8,$F$6="Multi"),AC21,)))))))))</f>
        <v>0</v>
      </c>
      <c r="H9" s="168">
        <f>IF($F$5&gt;=800,M15,IF($F$5&gt;=780,M14,IF($F$5&gt;=760,M13,IF($F$5&gt;=740,M12,IF($F$5&gt;=720,M11,IF($F$5&gt;=700,M10,IF($F$5&gt;=680,M9,IF($F$5&gt;=660,M8,IF($F$5&gt;=640,M7,IF($F$5&gt;=620,M6,0))))))))))</f>
        <v>1.5800000000000002E-2</v>
      </c>
      <c r="I9" s="170" t="s">
        <v>139</v>
      </c>
      <c r="J9" s="174">
        <v>0.01</v>
      </c>
      <c r="K9" s="171"/>
      <c r="L9" s="174">
        <v>4.1099999999999998E-2</v>
      </c>
      <c r="M9" s="174">
        <v>3.6799999999999999E-2</v>
      </c>
      <c r="O9" s="168">
        <f>IF($F$5&gt;=800,T15,IF($F$5&gt;=780,T14,IF($F$5&gt;=760,T13,IF($F$5&gt;=740,T12,IF($F$5&gt;=720,T11,IF($F$5&gt;=700,T10,IF($F$5&gt;=680,T9,IF($F$5&gt;=660,T8,IF($F$5&gt;=640,T7,IF($F$5&gt;=620,T6,0))))))))))</f>
        <v>8.6999999999999994E-3</v>
      </c>
      <c r="P9" s="170" t="s">
        <v>139</v>
      </c>
      <c r="Q9" s="174">
        <v>5.4999999999999997E-3</v>
      </c>
      <c r="R9" s="171"/>
      <c r="S9" s="174">
        <v>2.1700000000000001E-2</v>
      </c>
      <c r="T9" s="174">
        <v>1.9900000000000001E-2</v>
      </c>
      <c r="V9" s="168">
        <f>IF($F$5&gt;=800,AA15,IF($F$5&gt;=780,AA14,IF($F$5&gt;=760,AA13,IF($F$5&gt;=740,AA12,IF($F$5&gt;=720,AA11,IF($F$5&gt;=700,AA10,IF($F$5&gt;=680,AA9,IF($F$5&gt;=660,AA8,IF($F$5&gt;=640,AA7,IF($F$5&gt;=620,AA6,0))))))))))</f>
        <v>1.4E-2</v>
      </c>
      <c r="W9" s="170" t="s">
        <v>139</v>
      </c>
      <c r="X9" s="174">
        <v>8.8999999999999999E-3</v>
      </c>
      <c r="Y9" s="171"/>
      <c r="Z9" s="174">
        <v>3.9E-2</v>
      </c>
      <c r="AA9" s="174">
        <v>3.4700000000000002E-2</v>
      </c>
      <c r="AC9" s="168">
        <f>IF($F$5&gt;=800,AH15,IF($F$5&gt;=780,AH14,IF($F$5&gt;=760,AH13,IF($F$5&gt;=740,AH12,IF($F$5&gt;=720,AH11,IF($F$5&gt;=700,AH10,IF($F$5&gt;=680,AH9,IF($F$5&gt;=660,AH8,IF($F$5&gt;=640,AH7,IF($F$5&gt;=620,AH6,0))))))))))</f>
        <v>7.7000000000000002E-3</v>
      </c>
      <c r="AD9" s="170" t="s">
        <v>139</v>
      </c>
      <c r="AE9" s="174">
        <v>4.4999999999999997E-3</v>
      </c>
      <c r="AF9" s="171"/>
      <c r="AG9" s="174">
        <v>2.1700000000000001E-2</v>
      </c>
      <c r="AH9" s="174">
        <v>1.8800000000000001E-2</v>
      </c>
      <c r="AI9" s="23"/>
      <c r="AJ9" s="170"/>
      <c r="AK9" s="170" t="s">
        <v>140</v>
      </c>
      <c r="AL9" s="170"/>
      <c r="AM9" s="170" t="s">
        <v>141</v>
      </c>
      <c r="AP9" s="167" t="s">
        <v>142</v>
      </c>
      <c r="AQ9" s="65">
        <v>1209750</v>
      </c>
    </row>
    <row r="10" spans="2:43" x14ac:dyDescent="0.25">
      <c r="B10" s="167" t="s">
        <v>143</v>
      </c>
      <c r="C10" s="168">
        <f>IF('Payment Summaries'!$E$19="No",F10,F38)</f>
        <v>0</v>
      </c>
      <c r="E10" s="167" t="s">
        <v>126</v>
      </c>
      <c r="F10" s="178">
        <f t="shared" si="0"/>
        <v>0</v>
      </c>
      <c r="I10" s="170" t="s">
        <v>144</v>
      </c>
      <c r="J10" s="174">
        <v>8.2000000000000007E-3</v>
      </c>
      <c r="K10" s="171"/>
      <c r="L10" s="174">
        <v>3.3099999999999997E-2</v>
      </c>
      <c r="M10" s="174">
        <v>3.1800000000000002E-2</v>
      </c>
      <c r="P10" s="170" t="s">
        <v>144</v>
      </c>
      <c r="Q10" s="174">
        <v>4.3E-3</v>
      </c>
      <c r="R10" s="171"/>
      <c r="S10" s="174">
        <v>1.9699999999999999E-2</v>
      </c>
      <c r="T10" s="174">
        <v>1.7500000000000002E-2</v>
      </c>
      <c r="W10" s="170" t="s">
        <v>144</v>
      </c>
      <c r="X10" s="174">
        <v>7.3000000000000001E-3</v>
      </c>
      <c r="Y10" s="171"/>
      <c r="Z10" s="174">
        <v>3.1099999999999999E-2</v>
      </c>
      <c r="AA10" s="174">
        <v>2.98E-2</v>
      </c>
      <c r="AD10" s="170" t="s">
        <v>144</v>
      </c>
      <c r="AE10" s="174">
        <v>3.5999999999999999E-3</v>
      </c>
      <c r="AF10" s="171"/>
      <c r="AG10" s="174">
        <v>1.8700000000000001E-2</v>
      </c>
      <c r="AH10" s="174">
        <v>1.6500000000000001E-2</v>
      </c>
      <c r="AI10" s="23"/>
      <c r="AJ10" s="170" t="s">
        <v>124</v>
      </c>
      <c r="AK10" s="177">
        <f>'Payment Summaries'!K9*'Payment Summaries'!K11/360</f>
        <v>0</v>
      </c>
      <c r="AL10" s="170"/>
      <c r="AM10" s="177">
        <f t="shared" ref="AM10:AM11" si="1">AK10*15</f>
        <v>0</v>
      </c>
    </row>
    <row r="11" spans="2:43" x14ac:dyDescent="0.25">
      <c r="I11" s="170" t="s">
        <v>145</v>
      </c>
      <c r="J11" s="174">
        <v>7.3000000000000001E-3</v>
      </c>
      <c r="K11" s="171"/>
      <c r="L11" s="174">
        <v>2.7699999999999999E-2</v>
      </c>
      <c r="M11" s="174">
        <v>2.75E-2</v>
      </c>
      <c r="P11" s="170" t="s">
        <v>145</v>
      </c>
      <c r="Q11" s="174">
        <v>3.5999999999999999E-3</v>
      </c>
      <c r="R11" s="171">
        <v>6.2500000000000003E-3</v>
      </c>
      <c r="S11" s="174">
        <v>1.6E-2</v>
      </c>
      <c r="T11" s="174">
        <v>1.4800000000000001E-2</v>
      </c>
      <c r="W11" s="170" t="s">
        <v>145</v>
      </c>
      <c r="X11" s="174">
        <v>6.4999999999999997E-3</v>
      </c>
      <c r="Y11" s="171"/>
      <c r="Z11" s="174">
        <v>2.5700000000000001E-2</v>
      </c>
      <c r="AA11" s="174">
        <v>2.5499999999999998E-2</v>
      </c>
      <c r="AD11" s="170" t="s">
        <v>145</v>
      </c>
      <c r="AE11" s="174">
        <v>3.0000000000000001E-3</v>
      </c>
      <c r="AF11" s="171">
        <v>6.2500000000000003E-3</v>
      </c>
      <c r="AG11" s="174">
        <v>1.54E-2</v>
      </c>
      <c r="AH11" s="174">
        <v>1.38E-2</v>
      </c>
      <c r="AI11" s="23"/>
      <c r="AJ11" s="170" t="s">
        <v>126</v>
      </c>
      <c r="AK11" s="177">
        <f>'Payment Summaries'!K26*'Payment Summaries'!K28/360</f>
        <v>104.16666666666667</v>
      </c>
      <c r="AL11" s="170"/>
      <c r="AM11" s="177">
        <f t="shared" si="1"/>
        <v>1562.5</v>
      </c>
    </row>
    <row r="12" spans="2:43" x14ac:dyDescent="0.25">
      <c r="E12" s="167" t="s">
        <v>114</v>
      </c>
      <c r="F12" s="23">
        <f>'Payment Summaries'!$H$11</f>
        <v>6.25E-2</v>
      </c>
      <c r="I12" s="170" t="s">
        <v>146</v>
      </c>
      <c r="J12" s="174">
        <v>5.8999999999999999E-3</v>
      </c>
      <c r="K12" s="171"/>
      <c r="L12" s="174">
        <v>2.1700000000000001E-2</v>
      </c>
      <c r="M12" s="174">
        <v>2.1899999999999999E-2</v>
      </c>
      <c r="P12" s="170" t="s">
        <v>146</v>
      </c>
      <c r="Q12" s="174">
        <v>2.8E-3</v>
      </c>
      <c r="R12" s="171">
        <v>5.4999999999999997E-3</v>
      </c>
      <c r="S12" s="174">
        <v>1.34E-2</v>
      </c>
      <c r="T12" s="174">
        <v>1.1599999999999999E-2</v>
      </c>
      <c r="W12" s="170" t="s">
        <v>146</v>
      </c>
      <c r="X12" s="174">
        <v>5.1000000000000004E-3</v>
      </c>
      <c r="Y12" s="171"/>
      <c r="Z12" s="174">
        <v>1.9699999999999999E-2</v>
      </c>
      <c r="AA12" s="174">
        <v>1.9900000000000001E-2</v>
      </c>
      <c r="AD12" s="170" t="s">
        <v>146</v>
      </c>
      <c r="AE12" s="174">
        <v>2.3999999999999998E-3</v>
      </c>
      <c r="AF12" s="171">
        <v>5.4999999999999997E-3</v>
      </c>
      <c r="AG12" s="174">
        <v>1.24E-2</v>
      </c>
      <c r="AH12" s="174">
        <v>1.06E-2</v>
      </c>
      <c r="AI12" s="23"/>
    </row>
    <row r="13" spans="2:43" x14ac:dyDescent="0.25">
      <c r="F13" s="23"/>
      <c r="I13" s="170" t="s">
        <v>147</v>
      </c>
      <c r="J13" s="174">
        <v>4.4999999999999997E-3</v>
      </c>
      <c r="K13" s="171">
        <v>6.2500000000000003E-3</v>
      </c>
      <c r="L13" s="174">
        <v>1.5100000000000001E-2</v>
      </c>
      <c r="M13" s="174">
        <v>1.5800000000000002E-2</v>
      </c>
      <c r="P13" s="170" t="s">
        <v>147</v>
      </c>
      <c r="Q13" s="174">
        <v>2E-3</v>
      </c>
      <c r="R13" s="171">
        <v>3.5000000000000001E-3</v>
      </c>
      <c r="S13" s="174">
        <v>9.4000000000000004E-3</v>
      </c>
      <c r="T13" s="174">
        <v>8.6999999999999994E-3</v>
      </c>
      <c r="W13" s="170" t="s">
        <v>147</v>
      </c>
      <c r="X13" s="174">
        <v>3.8E-3</v>
      </c>
      <c r="Y13" s="171">
        <v>5.4999999999999997E-3</v>
      </c>
      <c r="Z13" s="174">
        <v>1.3299999999999999E-2</v>
      </c>
      <c r="AA13" s="174">
        <v>1.4E-2</v>
      </c>
      <c r="AD13" s="170" t="s">
        <v>147</v>
      </c>
      <c r="AE13" s="174">
        <v>1.8E-3</v>
      </c>
      <c r="AF13" s="171">
        <v>3.0000000000000001E-3</v>
      </c>
      <c r="AG13" s="174">
        <v>8.3999999999999995E-3</v>
      </c>
      <c r="AH13" s="174">
        <v>7.7000000000000002E-3</v>
      </c>
      <c r="AI13" s="23"/>
      <c r="AJ13" s="267" t="s">
        <v>148</v>
      </c>
      <c r="AK13" s="205"/>
    </row>
    <row r="14" spans="2:43" x14ac:dyDescent="0.25">
      <c r="I14" s="170" t="s">
        <v>149</v>
      </c>
      <c r="J14" s="174">
        <v>4.4999999999999997E-3</v>
      </c>
      <c r="K14" s="171">
        <v>5.4999999999999997E-3</v>
      </c>
      <c r="L14" s="174">
        <v>1.3299999999999999E-2</v>
      </c>
      <c r="M14" s="174">
        <v>1.5800000000000002E-2</v>
      </c>
      <c r="P14" s="170" t="s">
        <v>149</v>
      </c>
      <c r="Q14" s="174">
        <v>2E-3</v>
      </c>
      <c r="R14" s="171">
        <v>2.5000000000000001E-3</v>
      </c>
      <c r="S14" s="174">
        <v>8.3000000000000001E-3</v>
      </c>
      <c r="T14" s="174">
        <v>8.6999999999999994E-3</v>
      </c>
      <c r="W14" s="170" t="s">
        <v>149</v>
      </c>
      <c r="X14" s="174">
        <v>3.8E-3</v>
      </c>
      <c r="Y14" s="171">
        <v>3.5000000000000001E-3</v>
      </c>
      <c r="Z14" s="174">
        <v>1.15E-2</v>
      </c>
      <c r="AA14" s="174">
        <v>1.4E-2</v>
      </c>
      <c r="AD14" s="170" t="s">
        <v>149</v>
      </c>
      <c r="AE14" s="174">
        <v>1.8E-3</v>
      </c>
      <c r="AF14" s="171">
        <v>2E-3</v>
      </c>
      <c r="AG14" s="174">
        <v>7.3000000000000001E-3</v>
      </c>
      <c r="AH14" s="174">
        <v>7.7000000000000002E-3</v>
      </c>
      <c r="AI14" s="23"/>
      <c r="AJ14" s="170" t="s">
        <v>47</v>
      </c>
      <c r="AK14" s="175">
        <f>SUM('Closing Cost Estimate'!M11:M12,'Closing Cost Estimate'!M16:M17,'Closing Cost Estimate'!M19:M21,'Closing Cost Estimate'!M24:M25,'Closing Cost Estimate'!M29)</f>
        <v>2442</v>
      </c>
    </row>
    <row r="15" spans="2:43" x14ac:dyDescent="0.25">
      <c r="I15" s="170" t="s">
        <v>150</v>
      </c>
      <c r="J15" s="174">
        <v>4.3E-3</v>
      </c>
      <c r="K15" s="171">
        <v>5.4999999999999997E-3</v>
      </c>
      <c r="L15" s="174">
        <v>1.3100000000000001E-2</v>
      </c>
      <c r="M15" s="174">
        <v>1.5800000000000002E-2</v>
      </c>
      <c r="P15" s="170" t="s">
        <v>150</v>
      </c>
      <c r="Q15" s="174">
        <v>2E-3</v>
      </c>
      <c r="R15" s="171">
        <v>2E-3</v>
      </c>
      <c r="S15" s="174">
        <v>7.9000000000000008E-3</v>
      </c>
      <c r="T15" s="174">
        <v>8.6999999999999994E-3</v>
      </c>
      <c r="U15" s="180"/>
      <c r="W15" s="170" t="s">
        <v>150</v>
      </c>
      <c r="X15" s="174">
        <v>3.8E-3</v>
      </c>
      <c r="Y15" s="171">
        <v>3.5000000000000001E-3</v>
      </c>
      <c r="Z15" s="174">
        <v>1.1299999999999999E-2</v>
      </c>
      <c r="AA15" s="174">
        <v>1.4E-2</v>
      </c>
      <c r="AD15" s="170" t="s">
        <v>150</v>
      </c>
      <c r="AE15" s="174">
        <v>1.6000000000000001E-3</v>
      </c>
      <c r="AF15" s="171">
        <v>2E-3</v>
      </c>
      <c r="AG15" s="174">
        <v>6.8999999999999999E-3</v>
      </c>
      <c r="AH15" s="174">
        <v>7.7000000000000002E-3</v>
      </c>
      <c r="AI15" s="23"/>
      <c r="AJ15" s="170" t="s">
        <v>151</v>
      </c>
      <c r="AK15" s="170">
        <f>SUM('Amortization Schedule'!J:J)</f>
        <v>0</v>
      </c>
    </row>
    <row r="16" spans="2:43" x14ac:dyDescent="0.25">
      <c r="J16" s="23"/>
      <c r="K16" s="23"/>
      <c r="L16" s="23"/>
      <c r="M16" s="23"/>
      <c r="Q16" s="23"/>
      <c r="R16" s="23"/>
      <c r="S16" s="23"/>
      <c r="T16" s="23"/>
      <c r="X16" s="23"/>
      <c r="Y16" s="23"/>
      <c r="Z16" s="23"/>
      <c r="AA16" s="23"/>
      <c r="AE16" s="23"/>
      <c r="AF16" s="23"/>
      <c r="AG16" s="23"/>
      <c r="AH16" s="23"/>
      <c r="AI16" s="23"/>
      <c r="AJ16" s="170" t="s">
        <v>152</v>
      </c>
      <c r="AK16" s="175">
        <f>'Payment Summaries'!H9-Calcs!AK14-Calcs!AK15</f>
        <v>597558</v>
      </c>
    </row>
    <row r="17" spans="5:44" x14ac:dyDescent="0.25">
      <c r="I17" s="267" t="s">
        <v>153</v>
      </c>
      <c r="J17" s="268"/>
      <c r="K17" s="268"/>
      <c r="L17" s="268"/>
      <c r="M17" s="205"/>
      <c r="P17" s="267" t="s">
        <v>154</v>
      </c>
      <c r="Q17" s="268"/>
      <c r="R17" s="268"/>
      <c r="S17" s="268"/>
      <c r="T17" s="205"/>
      <c r="W17" s="267" t="s">
        <v>155</v>
      </c>
      <c r="X17" s="268"/>
      <c r="Y17" s="268"/>
      <c r="Z17" s="268"/>
      <c r="AA17" s="205"/>
      <c r="AD17" s="267" t="s">
        <v>156</v>
      </c>
      <c r="AE17" s="268"/>
      <c r="AF17" s="268"/>
      <c r="AG17" s="268"/>
      <c r="AH17" s="205"/>
      <c r="AI17" s="23"/>
      <c r="AJ17" s="170" t="s">
        <v>62</v>
      </c>
      <c r="AK17" s="171">
        <f>RATE(360,-'Payment Summaries'!H15,AK16)*12</f>
        <v>6.288654357394681E-2</v>
      </c>
    </row>
    <row r="18" spans="5:44" x14ac:dyDescent="0.25">
      <c r="I18" s="170" t="s">
        <v>122</v>
      </c>
      <c r="J18" s="171" t="s">
        <v>123</v>
      </c>
      <c r="K18" s="171" t="s">
        <v>124</v>
      </c>
      <c r="L18" s="171" t="s">
        <v>125</v>
      </c>
      <c r="M18" s="171" t="s">
        <v>126</v>
      </c>
      <c r="P18" s="170" t="s">
        <v>122</v>
      </c>
      <c r="Q18" s="171" t="s">
        <v>123</v>
      </c>
      <c r="R18" s="171" t="s">
        <v>124</v>
      </c>
      <c r="S18" s="171" t="s">
        <v>125</v>
      </c>
      <c r="T18" s="171" t="s">
        <v>126</v>
      </c>
      <c r="W18" s="170" t="s">
        <v>122</v>
      </c>
      <c r="X18" s="171" t="s">
        <v>123</v>
      </c>
      <c r="Y18" s="171" t="s">
        <v>124</v>
      </c>
      <c r="Z18" s="171" t="s">
        <v>125</v>
      </c>
      <c r="AA18" s="171" t="s">
        <v>126</v>
      </c>
      <c r="AD18" s="170" t="s">
        <v>122</v>
      </c>
      <c r="AE18" s="171" t="s">
        <v>123</v>
      </c>
      <c r="AF18" s="171" t="s">
        <v>124</v>
      </c>
      <c r="AG18" s="171" t="s">
        <v>125</v>
      </c>
      <c r="AH18" s="171" t="s">
        <v>126</v>
      </c>
      <c r="AI18" s="23"/>
    </row>
    <row r="19" spans="5:44" x14ac:dyDescent="0.25">
      <c r="H19" s="168">
        <f>IF($F$5&gt;=800,J28,IF($F$5&gt;=780,J27,IF($F$5&gt;=760,J26,IF($F$5&gt;=740,J25,IF($F$5&gt;=720,J24,IF($F$5&gt;=700,J23,IF($F$5&gt;=680,J22,IF($F$5&gt;=660,J21,IF($F$5&gt;=640,J20,IF($F$5&gt;=620,J19,0))))))))))</f>
        <v>3.0999999999999999E-3</v>
      </c>
      <c r="I19" s="170" t="s">
        <v>134</v>
      </c>
      <c r="J19" s="174">
        <v>1.4200000000000001E-2</v>
      </c>
      <c r="K19" s="171"/>
      <c r="L19" s="174">
        <v>5.0799999999999998E-2</v>
      </c>
      <c r="M19" s="174">
        <v>4.4400000000000002E-2</v>
      </c>
      <c r="O19" s="168">
        <f>IF($F$5&gt;=800,Q28,IF($F$5&gt;=780,Q27,IF($F$5&gt;=760,Q26,IF($F$5&gt;=740,Q25,IF($F$5&gt;=720,Q24,IF($F$5&gt;=700,Q23,IF($F$5&gt;=680,Q22,IF($F$5&gt;=660,Q21,IF($F$5&gt;=640,Q20,IF($F$5&gt;=620,Q19,0))))))))))</f>
        <v>1.4E-3</v>
      </c>
      <c r="P19" s="170" t="s">
        <v>134</v>
      </c>
      <c r="Q19" s="174">
        <v>4.4000000000000003E-3</v>
      </c>
      <c r="R19" s="171">
        <v>6.2500000000000003E-3</v>
      </c>
      <c r="S19" s="174">
        <v>1.43E-2</v>
      </c>
      <c r="T19" s="174">
        <v>1.2699999999999999E-2</v>
      </c>
      <c r="V19" s="168">
        <f>IF($F$5&gt;=800,X28,IF($F$5&gt;=780,X27,IF($F$5&gt;=760,X26,IF($F$5&gt;=740,X25,IF($F$5&gt;=720,X24,IF($F$5&gt;=700,X23,IF($F$5&gt;=680,X22,IF($F$5&gt;=660,X21,IF($F$5&gt;=640,X20,IF($F$5&gt;=620,X19,0))))))))))</f>
        <v>2.3999999999999998E-3</v>
      </c>
      <c r="W19" s="170" t="s">
        <v>134</v>
      </c>
      <c r="X19" s="174">
        <v>1.2500000000000001E-2</v>
      </c>
      <c r="Y19" s="171"/>
      <c r="Z19" s="174">
        <v>4.8300000000000003E-2</v>
      </c>
      <c r="AA19" s="174">
        <v>4.4400000000000002E-2</v>
      </c>
      <c r="AC19" s="168">
        <f>IF($F$5&gt;=800,AE28,IF($F$5&gt;=780,AE27,IF($F$5&gt;=760,AE26,IF($F$5&gt;=740,AE25,IF($F$5&gt;=720,AE24,IF($F$5&gt;=700,AE23,IF($F$5&gt;=680,AE22,IF($F$5&gt;=660,AE21,IF($F$5&gt;=640,AE20,IF($F$5&gt;=620,AE19,0))))))))))</f>
        <v>1.1999999999999999E-3</v>
      </c>
      <c r="AD19" s="170" t="s">
        <v>134</v>
      </c>
      <c r="AE19" s="174">
        <v>3.8999999999999998E-3</v>
      </c>
      <c r="AF19" s="171">
        <v>6.2500000000000003E-3</v>
      </c>
      <c r="AG19" s="174">
        <v>1.3899999999999999E-2</v>
      </c>
      <c r="AH19" s="174">
        <v>1.23E-2</v>
      </c>
      <c r="AI19" s="23"/>
      <c r="AR19" s="181"/>
    </row>
    <row r="20" spans="5:44" x14ac:dyDescent="0.25">
      <c r="H20" s="168">
        <f>IF($F$5&gt;=800,K28,IF($F$5&gt;=780,K27,IF($F$5&gt;=760,K26,IF($F$5&gt;=740,K25,IF($F$5&gt;=720,K24,IF($F$5&gt;=700,K23,IF($F$5&gt;=680,K22,IF($F$5&gt;=660,K21,IF($F$5&gt;=640,K20,IF($F$5&gt;=620,K19,0))))))))))</f>
        <v>5.4999999999999997E-3</v>
      </c>
      <c r="I20" s="170" t="s">
        <v>135</v>
      </c>
      <c r="J20" s="174">
        <v>1.3100000000000001E-2</v>
      </c>
      <c r="K20" s="171"/>
      <c r="L20" s="174">
        <v>4.58E-2</v>
      </c>
      <c r="M20" s="174">
        <v>3.9100000000000003E-2</v>
      </c>
      <c r="O20" s="168">
        <f>IF($F$5&gt;=800,R28,IF($F$5&gt;=780,R27,IF($F$5&gt;=760,R26,IF($F$5&gt;=740,R25,IF($F$5&gt;=720,R24,IF($F$5&gt;=700,R23,IF($F$5&gt;=680,R22,IF($F$5&gt;=660,R21,IF($F$5&gt;=640,R20,IF($F$5&gt;=620,R19,0))))))))))</f>
        <v>1.25E-3</v>
      </c>
      <c r="P20" s="170" t="s">
        <v>135</v>
      </c>
      <c r="Q20" s="174">
        <v>3.8E-3</v>
      </c>
      <c r="R20" s="171">
        <v>5.4999999999999997E-3</v>
      </c>
      <c r="S20" s="174">
        <v>1.34E-2</v>
      </c>
      <c r="T20" s="174">
        <v>1.06E-2</v>
      </c>
      <c r="V20" s="168">
        <f>IF($F$5&gt;=800,Y28,IF($F$5&gt;=780,Y27,IF($F$5&gt;=760,Y26,IF($F$5&gt;=740,Y25,IF($F$5&gt;=720,Y24,IF($F$5&gt;=700,Y23,IF($F$5&gt;=680,Y22,IF($F$5&gt;=660,Y21,IF($F$5&gt;=640,Y20,IF($F$5&gt;=620,Y19,0))))))))))</f>
        <v>3.5000000000000001E-3</v>
      </c>
      <c r="W20" s="170" t="s">
        <v>135</v>
      </c>
      <c r="X20" s="174">
        <v>1.12E-2</v>
      </c>
      <c r="Y20" s="171"/>
      <c r="Z20" s="174">
        <v>4.3900000000000002E-2</v>
      </c>
      <c r="AA20" s="174">
        <v>3.7199999999999997E-2</v>
      </c>
      <c r="AC20" s="168">
        <f>IF($F$5&gt;=800,AF28,IF($F$5&gt;=780,AF27,IF($F$5&gt;=760,AF26,IF($F$5&gt;=740,AF25,IF($F$5&gt;=720,AF24,IF($F$5&gt;=700,AF23,IF($F$5&gt;=680,AF22,IF($F$5&gt;=660,AF21,IF($F$5&gt;=640,AF20,IF($F$5&gt;=620,AF19,0))))))))))</f>
        <v>1.25E-3</v>
      </c>
      <c r="AD20" s="170" t="s">
        <v>135</v>
      </c>
      <c r="AE20" s="174">
        <v>3.3E-3</v>
      </c>
      <c r="AF20" s="171">
        <v>6.2500000000000003E-3</v>
      </c>
      <c r="AG20" s="174">
        <v>1.2999999999999999E-2</v>
      </c>
      <c r="AH20" s="174">
        <v>1.0200000000000001E-2</v>
      </c>
      <c r="AI20" s="23"/>
      <c r="AR20" s="182"/>
    </row>
    <row r="21" spans="5:44" ht="15.75" customHeight="1" x14ac:dyDescent="0.25">
      <c r="H21" s="168">
        <f>IF($F$5&gt;=800,L28,IF($F$5&gt;=780,L27,IF($F$5&gt;=760,L26,IF($F$5&gt;=740,L25,IF($F$5&gt;=720,L24,IF($F$5&gt;=700,L23,IF($F$5&gt;=680,L22,IF($F$5&gt;=660,L21,IF($F$5&gt;=640,L20,IF($F$5&gt;=620,L19,0))))))))))</f>
        <v>1.24E-2</v>
      </c>
      <c r="I21" s="170" t="s">
        <v>136</v>
      </c>
      <c r="J21" s="174">
        <v>1.1599999999999999E-2</v>
      </c>
      <c r="K21" s="171"/>
      <c r="L21" s="174">
        <v>4.2099999999999999E-2</v>
      </c>
      <c r="M21" s="174">
        <v>3.6900000000000002E-2</v>
      </c>
      <c r="O21" s="168">
        <f>IF($F$5&gt;=800,S28,IF($F$5&gt;=780,S27,IF($F$5&gt;=760,S26,IF($F$5&gt;=740,S25,IF($F$5&gt;=720,S24,IF($F$5&gt;=700,S23,IF($F$5&gt;=680,S22,IF($F$5&gt;=660,S21,IF($F$5&gt;=640,S20,IF($F$5&gt;=620,S19,0))))))))))</f>
        <v>4.7000000000000002E-3</v>
      </c>
      <c r="P21" s="170" t="s">
        <v>136</v>
      </c>
      <c r="Q21" s="174">
        <v>3.0999999999999999E-3</v>
      </c>
      <c r="R21" s="171">
        <v>5.4999999999999997E-3</v>
      </c>
      <c r="S21" s="174">
        <v>1.21E-2</v>
      </c>
      <c r="T21" s="174">
        <v>0.01</v>
      </c>
      <c r="V21" s="168">
        <f>IF($F$5&gt;=800,Z28,IF($F$5&gt;=780,Z27,IF($F$5&gt;=760,Z26,IF($F$5&gt;=740,Z25,IF($F$5&gt;=720,Z24,IF($F$5&gt;=700,Z23,IF($F$5&gt;=680,Z22,IF($F$5&gt;=660,Z21,IF($F$5&gt;=640,Z20,IF($F$5&gt;=620,Z19,0))))))))))</f>
        <v>1.0999999999999999E-2</v>
      </c>
      <c r="W21" s="170" t="s">
        <v>136</v>
      </c>
      <c r="X21" s="174">
        <v>1.0200000000000001E-2</v>
      </c>
      <c r="Y21" s="171"/>
      <c r="Z21" s="174">
        <v>4.0399999999999998E-2</v>
      </c>
      <c r="AA21" s="174">
        <v>3.5200000000000002E-2</v>
      </c>
      <c r="AC21" s="168">
        <f>IF($F$5&gt;=800,AG28,IF($F$5&gt;=780,AG27,IF($F$5&gt;=760,AG26,IF($F$5&gt;=740,AG25,IF($F$5&gt;=720,AG24,IF($F$5&gt;=700,AG23,IF($F$5&gt;=680,AG22,IF($F$5&gt;=660,AG21,IF($F$5&gt;=640,AG20,IF($F$5&gt;=620,AG19,0))))))))))</f>
        <v>4.4000000000000003E-3</v>
      </c>
      <c r="AD21" s="170" t="s">
        <v>136</v>
      </c>
      <c r="AE21" s="174">
        <v>2.5000000000000001E-3</v>
      </c>
      <c r="AF21" s="171">
        <v>5.4999999999999997E-3</v>
      </c>
      <c r="AG21" s="174">
        <v>1.17E-2</v>
      </c>
      <c r="AH21" s="174">
        <v>9.5999999999999992E-3</v>
      </c>
      <c r="AI21" s="23"/>
      <c r="AR21" s="23"/>
    </row>
    <row r="22" spans="5:44" ht="15.75" customHeight="1" x14ac:dyDescent="0.25">
      <c r="H22" s="168">
        <f>IF($F$5&gt;=800,M28,IF($F$5&gt;=780,M27,IF($F$5&gt;=760,M26,IF($F$5&gt;=740,M25,IF($F$5&gt;=720,M24,IF($F$5&gt;=700,M23,IF($F$5&gt;=680,M22,IF($F$5&gt;=660,M21,IF($F$5&gt;=640,M20,IF($F$5&gt;=620,M19,0))))))))))</f>
        <v>1.2200000000000001E-2</v>
      </c>
      <c r="I22" s="170" t="s">
        <v>139</v>
      </c>
      <c r="J22" s="174">
        <v>7.4000000000000003E-3</v>
      </c>
      <c r="K22" s="171"/>
      <c r="L22" s="174">
        <v>3.1800000000000002E-2</v>
      </c>
      <c r="M22" s="174">
        <v>2.92E-2</v>
      </c>
      <c r="O22" s="168">
        <f>IF($F$5&gt;=800,T28,IF($F$5&gt;=780,T27,IF($F$5&gt;=760,T26,IF($F$5&gt;=740,T25,IF($F$5&gt;=720,T24,IF($F$5&gt;=700,T23,IF($F$5&gt;=680,T22,IF($F$5&gt;=660,T21,IF($F$5&gt;=640,T20,IF($F$5&gt;=620,T19,0))))))))))</f>
        <v>4.7000000000000002E-3</v>
      </c>
      <c r="P22" s="170" t="s">
        <v>139</v>
      </c>
      <c r="Q22" s="174">
        <v>2.2000000000000001E-3</v>
      </c>
      <c r="R22" s="171">
        <v>3.5000000000000001E-3</v>
      </c>
      <c r="S22" s="174">
        <v>8.9999999999999993E-3</v>
      </c>
      <c r="T22" s="174">
        <v>8.5000000000000006E-3</v>
      </c>
      <c r="V22" s="168">
        <f>IF($F$5&gt;=800,AA28,IF($F$5&gt;=780,AA27,IF($F$5&gt;=760,AA26,IF($F$5&gt;=740,AA25,IF($F$5&gt;=720,AA24,IF($F$5&gt;=700,AA23,IF($F$5&gt;=680,AA22,IF($F$5&gt;=660,AA21,IF($F$5&gt;=640,AA20,IF($F$5&gt;=620,AA19,0))))))))))</f>
        <v>1.0800000000000001E-2</v>
      </c>
      <c r="W22" s="170" t="s">
        <v>139</v>
      </c>
      <c r="X22" s="174">
        <v>6.4000000000000003E-3</v>
      </c>
      <c r="Y22" s="171"/>
      <c r="Z22" s="174">
        <v>3.0200000000000001E-2</v>
      </c>
      <c r="AA22" s="174">
        <v>2.76E-2</v>
      </c>
      <c r="AC22" s="168">
        <f>IF($F$5&gt;=800,AH28,IF($F$5&gt;=780,AH27,IF($F$5&gt;=760,AH26,IF($F$5&gt;=740,AH25,IF($F$5&gt;=720,AH24,IF($F$5&gt;=700,AH23,IF($F$5&gt;=680,AH22,IF($F$5&gt;=660,AH21,IF($F$5&gt;=640,AH20,IF($F$5&gt;=620,AH19,0))))))))))</f>
        <v>4.4000000000000003E-3</v>
      </c>
      <c r="AD22" s="170" t="s">
        <v>139</v>
      </c>
      <c r="AE22" s="174">
        <v>1.8E-3</v>
      </c>
      <c r="AF22" s="171">
        <v>2.5000000000000001E-3</v>
      </c>
      <c r="AG22" s="174">
        <v>8.6E-3</v>
      </c>
      <c r="AH22" s="174">
        <v>8.0999999999999996E-3</v>
      </c>
      <c r="AI22" s="23"/>
      <c r="AN22" s="183"/>
    </row>
    <row r="23" spans="5:44" ht="15.75" customHeight="1" x14ac:dyDescent="0.25">
      <c r="I23" s="170" t="s">
        <v>144</v>
      </c>
      <c r="J23" s="174">
        <v>5.8999999999999999E-3</v>
      </c>
      <c r="K23" s="171"/>
      <c r="L23" s="174">
        <v>2.5700000000000001E-2</v>
      </c>
      <c r="M23" s="174">
        <v>2.52E-2</v>
      </c>
      <c r="P23" s="170" t="s">
        <v>144</v>
      </c>
      <c r="Q23" s="174">
        <v>2E-3</v>
      </c>
      <c r="R23" s="171">
        <v>2E-3</v>
      </c>
      <c r="S23" s="174">
        <v>7.7000000000000002E-3</v>
      </c>
      <c r="T23" s="174">
        <v>7.1000000000000004E-3</v>
      </c>
      <c r="W23" s="170" t="s">
        <v>144</v>
      </c>
      <c r="X23" s="174">
        <v>5.1999999999999998E-3</v>
      </c>
      <c r="Y23" s="171"/>
      <c r="Z23" s="174">
        <v>2.5700000000000001E-2</v>
      </c>
      <c r="AA23" s="174">
        <v>2.3599999999999999E-2</v>
      </c>
      <c r="AD23" s="170" t="s">
        <v>144</v>
      </c>
      <c r="AE23" s="174">
        <v>1.6000000000000001E-3</v>
      </c>
      <c r="AF23" s="171">
        <v>2E-3</v>
      </c>
      <c r="AG23" s="174">
        <v>7.4000000000000003E-3</v>
      </c>
      <c r="AH23" s="174">
        <v>6.7999999999999996E-3</v>
      </c>
      <c r="AI23" s="23"/>
    </row>
    <row r="24" spans="5:44" ht="15.75" customHeight="1" x14ac:dyDescent="0.25">
      <c r="I24" s="170" t="s">
        <v>145</v>
      </c>
      <c r="J24" s="174">
        <v>5.0000000000000001E-3</v>
      </c>
      <c r="K24" s="171"/>
      <c r="L24" s="174">
        <v>2.1700000000000001E-2</v>
      </c>
      <c r="M24" s="174">
        <v>2.1600000000000001E-2</v>
      </c>
      <c r="P24" s="170" t="s">
        <v>145</v>
      </c>
      <c r="Q24" s="174">
        <v>1.8E-3</v>
      </c>
      <c r="R24" s="171">
        <v>2E-3</v>
      </c>
      <c r="S24" s="174">
        <v>6.7000000000000002E-3</v>
      </c>
      <c r="T24" s="174">
        <v>6.4000000000000003E-3</v>
      </c>
      <c r="W24" s="170" t="s">
        <v>145</v>
      </c>
      <c r="X24" s="174">
        <v>4.3E-3</v>
      </c>
      <c r="Y24" s="171"/>
      <c r="Z24" s="174">
        <v>2.0299999999999999E-2</v>
      </c>
      <c r="AA24" s="174">
        <v>2.0199999999999999E-2</v>
      </c>
      <c r="AD24" s="170" t="s">
        <v>145</v>
      </c>
      <c r="AE24" s="174">
        <v>1.6000000000000001E-3</v>
      </c>
      <c r="AF24" s="171">
        <v>2E-3</v>
      </c>
      <c r="AG24" s="174">
        <v>6.4000000000000003E-3</v>
      </c>
      <c r="AH24" s="174">
        <v>6.1000000000000004E-3</v>
      </c>
      <c r="AI24" s="23"/>
    </row>
    <row r="25" spans="5:44" ht="15.75" customHeight="1" x14ac:dyDescent="0.25">
      <c r="I25" s="170" t="s">
        <v>146</v>
      </c>
      <c r="J25" s="174">
        <v>4.1999999999999997E-3</v>
      </c>
      <c r="K25" s="171">
        <v>8.7500000000000008E-3</v>
      </c>
      <c r="L25" s="174">
        <v>1.7399999999999999E-2</v>
      </c>
      <c r="M25" s="174">
        <v>1.7299999999999999E-2</v>
      </c>
      <c r="P25" s="170" t="s">
        <v>146</v>
      </c>
      <c r="Q25" s="174">
        <v>1.6000000000000001E-3</v>
      </c>
      <c r="R25" s="171">
        <v>2E-3</v>
      </c>
      <c r="S25" s="174">
        <v>5.7000000000000002E-3</v>
      </c>
      <c r="T25" s="174">
        <v>5.4000000000000003E-3</v>
      </c>
      <c r="W25" s="170" t="s">
        <v>146</v>
      </c>
      <c r="X25" s="174">
        <v>3.5000000000000001E-3</v>
      </c>
      <c r="Y25" s="171">
        <v>6.2500000000000003E-3</v>
      </c>
      <c r="Z25" s="174">
        <v>1.6E-2</v>
      </c>
      <c r="AA25" s="174">
        <v>1.5900000000000001E-2</v>
      </c>
      <c r="AD25" s="170" t="s">
        <v>146</v>
      </c>
      <c r="AE25" s="174">
        <v>1.1999999999999999E-3</v>
      </c>
      <c r="AF25" s="171">
        <v>1.25E-3</v>
      </c>
      <c r="AG25" s="174">
        <v>5.4000000000000003E-3</v>
      </c>
      <c r="AH25" s="174">
        <v>5.1000000000000004E-3</v>
      </c>
      <c r="AI25" s="23"/>
    </row>
    <row r="26" spans="5:44" ht="15.75" customHeight="1" x14ac:dyDescent="0.25">
      <c r="I26" s="170" t="s">
        <v>147</v>
      </c>
      <c r="J26" s="174">
        <v>3.0999999999999999E-3</v>
      </c>
      <c r="K26" s="171">
        <v>5.4999999999999997E-3</v>
      </c>
      <c r="L26" s="174">
        <v>1.24E-2</v>
      </c>
      <c r="M26" s="174">
        <v>1.2200000000000001E-2</v>
      </c>
      <c r="P26" s="170" t="s">
        <v>147</v>
      </c>
      <c r="Q26" s="174">
        <v>1.4E-3</v>
      </c>
      <c r="R26" s="171">
        <v>1.25E-3</v>
      </c>
      <c r="S26" s="174">
        <v>4.7000000000000002E-3</v>
      </c>
      <c r="T26" s="174">
        <v>4.7000000000000002E-3</v>
      </c>
      <c r="W26" s="170" t="s">
        <v>147</v>
      </c>
      <c r="X26" s="174">
        <v>2.3999999999999998E-3</v>
      </c>
      <c r="Y26" s="171">
        <v>3.5000000000000001E-3</v>
      </c>
      <c r="Z26" s="174">
        <v>1.0999999999999999E-2</v>
      </c>
      <c r="AA26" s="174">
        <v>1.0800000000000001E-2</v>
      </c>
      <c r="AD26" s="170" t="s">
        <v>147</v>
      </c>
      <c r="AE26" s="174">
        <v>1.1999999999999999E-3</v>
      </c>
      <c r="AF26" s="171">
        <v>1.25E-3</v>
      </c>
      <c r="AG26" s="174">
        <v>4.4000000000000003E-3</v>
      </c>
      <c r="AH26" s="174">
        <v>4.4000000000000003E-3</v>
      </c>
      <c r="AI26" s="23"/>
    </row>
    <row r="27" spans="5:44" ht="15.75" customHeight="1" x14ac:dyDescent="0.25">
      <c r="I27" s="170" t="s">
        <v>149</v>
      </c>
      <c r="J27" s="174">
        <v>3.0999999999999999E-3</v>
      </c>
      <c r="K27" s="171">
        <v>3.5000000000000001E-3</v>
      </c>
      <c r="L27" s="174">
        <v>1.03E-2</v>
      </c>
      <c r="M27" s="174">
        <v>1.2200000000000001E-2</v>
      </c>
      <c r="P27" s="170" t="s">
        <v>149</v>
      </c>
      <c r="Q27" s="174">
        <v>1.4E-3</v>
      </c>
      <c r="R27" s="171">
        <v>1.25E-3</v>
      </c>
      <c r="S27" s="174">
        <v>4.7000000000000002E-3</v>
      </c>
      <c r="T27" s="174">
        <v>4.7000000000000002E-3</v>
      </c>
      <c r="W27" s="170" t="s">
        <v>149</v>
      </c>
      <c r="X27" s="174">
        <v>2.3999999999999998E-3</v>
      </c>
      <c r="Y27" s="171">
        <v>3.0000000000000001E-3</v>
      </c>
      <c r="Z27" s="174">
        <v>8.8999999999999999E-3</v>
      </c>
      <c r="AA27" s="174">
        <v>1.0800000000000001E-2</v>
      </c>
      <c r="AD27" s="170" t="s">
        <v>149</v>
      </c>
      <c r="AE27" s="174">
        <v>1.1999999999999999E-3</v>
      </c>
      <c r="AF27" s="171">
        <v>1.25E-3</v>
      </c>
      <c r="AG27" s="174">
        <v>4.4000000000000003E-3</v>
      </c>
      <c r="AH27" s="174">
        <v>4.4000000000000003E-3</v>
      </c>
      <c r="AI27" s="23"/>
    </row>
    <row r="28" spans="5:44" ht="15.75" customHeight="1" x14ac:dyDescent="0.25">
      <c r="I28" s="170" t="s">
        <v>150</v>
      </c>
      <c r="J28" s="174">
        <v>2.8999999999999998E-3</v>
      </c>
      <c r="K28" s="171">
        <v>3.5000000000000001E-3</v>
      </c>
      <c r="L28" s="174">
        <v>9.5999999999999992E-3</v>
      </c>
      <c r="M28" s="174">
        <v>1.2200000000000001E-2</v>
      </c>
      <c r="P28" s="170" t="s">
        <v>150</v>
      </c>
      <c r="Q28" s="174">
        <v>1.4E-3</v>
      </c>
      <c r="R28" s="171">
        <v>1.25E-3</v>
      </c>
      <c r="S28" s="174">
        <v>4.7000000000000002E-3</v>
      </c>
      <c r="T28" s="174">
        <v>4.7000000000000002E-3</v>
      </c>
      <c r="W28" s="170" t="s">
        <v>150</v>
      </c>
      <c r="X28" s="174">
        <v>2.3999999999999998E-3</v>
      </c>
      <c r="Y28" s="171">
        <v>3.0000000000000001E-3</v>
      </c>
      <c r="Z28" s="174">
        <v>8.2000000000000007E-3</v>
      </c>
      <c r="AA28" s="174">
        <v>1.0800000000000001E-2</v>
      </c>
      <c r="AD28" s="170" t="s">
        <v>150</v>
      </c>
      <c r="AE28" s="174">
        <v>1.1999999999999999E-3</v>
      </c>
      <c r="AF28" s="171">
        <v>1.25E-3</v>
      </c>
      <c r="AG28" s="174">
        <v>4.4000000000000003E-3</v>
      </c>
      <c r="AH28" s="174">
        <v>4.4000000000000003E-3</v>
      </c>
      <c r="AI28" s="23"/>
    </row>
    <row r="29" spans="5:44" ht="15.75" customHeight="1" x14ac:dyDescent="0.25">
      <c r="J29" s="23"/>
      <c r="K29" s="23"/>
      <c r="L29" s="23"/>
      <c r="M29" s="23"/>
      <c r="R29" s="23"/>
      <c r="S29" s="23"/>
      <c r="T29" s="23"/>
    </row>
    <row r="30" spans="5:44" ht="15.75" customHeight="1" x14ac:dyDescent="0.25">
      <c r="I30" s="269" t="s">
        <v>157</v>
      </c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</row>
    <row r="31" spans="5:44" ht="15.75" customHeight="1" x14ac:dyDescent="0.25">
      <c r="J31" s="23"/>
      <c r="K31" s="23"/>
      <c r="L31" s="23"/>
      <c r="M31" s="23"/>
      <c r="R31" s="23"/>
      <c r="S31" s="23"/>
      <c r="T31" s="23"/>
    </row>
    <row r="32" spans="5:44" ht="15.75" customHeight="1" x14ac:dyDescent="0.25">
      <c r="E32" s="167" t="s">
        <v>116</v>
      </c>
      <c r="F32" s="168">
        <f>1-'Payment Summaries'!$E$15</f>
        <v>0.8</v>
      </c>
      <c r="I32" s="267" t="s">
        <v>158</v>
      </c>
      <c r="J32" s="268"/>
      <c r="K32" s="268"/>
      <c r="L32" s="268"/>
      <c r="M32" s="205"/>
      <c r="P32" s="267" t="s">
        <v>159</v>
      </c>
      <c r="Q32" s="268"/>
      <c r="R32" s="268"/>
      <c r="S32" s="268"/>
      <c r="T32" s="205"/>
      <c r="W32" s="267" t="s">
        <v>160</v>
      </c>
      <c r="X32" s="268"/>
      <c r="Y32" s="268"/>
      <c r="Z32" s="268"/>
      <c r="AA32" s="205"/>
      <c r="AD32" s="267" t="s">
        <v>161</v>
      </c>
      <c r="AE32" s="268"/>
      <c r="AF32" s="268"/>
      <c r="AG32" s="268"/>
      <c r="AH32" s="205"/>
    </row>
    <row r="33" spans="5:34" ht="15.75" customHeight="1" x14ac:dyDescent="0.25">
      <c r="E33" s="167" t="s">
        <v>12</v>
      </c>
      <c r="F33" s="167">
        <f>'Payment Summaries'!$E$16</f>
        <v>771</v>
      </c>
      <c r="I33" s="170" t="s">
        <v>122</v>
      </c>
      <c r="J33" s="171" t="s">
        <v>123</v>
      </c>
      <c r="K33" s="171" t="s">
        <v>124</v>
      </c>
      <c r="L33" s="171" t="s">
        <v>125</v>
      </c>
      <c r="M33" s="171" t="s">
        <v>126</v>
      </c>
      <c r="P33" s="170" t="s">
        <v>122</v>
      </c>
      <c r="Q33" s="171" t="s">
        <v>123</v>
      </c>
      <c r="R33" s="171" t="s">
        <v>124</v>
      </c>
      <c r="S33" s="171" t="s">
        <v>125</v>
      </c>
      <c r="T33" s="171" t="s">
        <v>126</v>
      </c>
      <c r="W33" s="170" t="s">
        <v>122</v>
      </c>
      <c r="X33" s="171" t="s">
        <v>123</v>
      </c>
      <c r="Y33" s="171" t="s">
        <v>124</v>
      </c>
      <c r="Z33" s="171" t="s">
        <v>125</v>
      </c>
      <c r="AA33" s="171" t="s">
        <v>126</v>
      </c>
      <c r="AD33" s="170" t="s">
        <v>122</v>
      </c>
      <c r="AE33" s="171" t="s">
        <v>123</v>
      </c>
      <c r="AF33" s="171" t="s">
        <v>124</v>
      </c>
      <c r="AG33" s="171" t="s">
        <v>125</v>
      </c>
      <c r="AH33" s="171" t="s">
        <v>126</v>
      </c>
    </row>
    <row r="34" spans="5:34" ht="15.75" customHeight="1" x14ac:dyDescent="0.25">
      <c r="E34" s="167" t="s">
        <v>133</v>
      </c>
      <c r="F34" s="167" t="str">
        <f>'Payment Summaries'!$E$17</f>
        <v>Multi</v>
      </c>
      <c r="H34" s="168">
        <f>IF($F$33&gt;=800,J43,IF($F$33&gt;=780,J42,IF($F$33&gt;=760,J41,IF($F$33&gt;=740,J40,IF($F$33&gt;=720,J39,IF($F$33&gt;=700,J38,IF($F$33&gt;=680,J37,IF($F$33&gt;=660,J36,IF($F$33&gt;=640,J35,IF($F$33&gt;=620,J34,0))))))))))</f>
        <v>4.1000000000000003E-3</v>
      </c>
      <c r="I34" s="170" t="s">
        <v>134</v>
      </c>
      <c r="J34" s="174">
        <v>1.4999999999999999E-2</v>
      </c>
      <c r="K34" s="171"/>
      <c r="L34" s="174">
        <v>4.9799999999999997E-2</v>
      </c>
      <c r="M34" s="174">
        <v>4.1200000000000001E-2</v>
      </c>
      <c r="O34" s="168">
        <f>IF($F$33&gt;=800,Q43,IF($F$33&gt;=780,Q42,IF($F$33&gt;=760,Q41,IF($F$33&gt;=740,Q40,IF($F$33&gt;=720,Q39,IF($F$33&gt;=700,Q38,IF($F$33&gt;=680,Q37,IF($F$33&gt;=660,Q36,IF($F$33&gt;=640,Q35,IF($F$33&gt;=620,Q34,0))))))))))</f>
        <v>2E-3</v>
      </c>
      <c r="P34" s="170" t="s">
        <v>134</v>
      </c>
      <c r="Q34" s="174">
        <v>8.5000000000000006E-3</v>
      </c>
      <c r="R34" s="171"/>
      <c r="S34" s="174">
        <v>3.8399999999999997E-2</v>
      </c>
      <c r="T34" s="174">
        <v>2.81E-2</v>
      </c>
      <c r="V34" s="168">
        <f>IF($F$33&gt;=800,X43,IF($F$33&gt;=780,X42,IF($F$33&gt;=760,X41,IF($F$33&gt;=740,X40,IF($F$33&gt;=720,X39,IF($F$33&gt;=700,X38,IF($F$33&gt;=680,X37,IF($F$33&gt;=660,X36,IF($F$33&gt;=640,X35,IF($F$33&gt;=620,X34,0))))))))))</f>
        <v>2.7000000000000001E-3</v>
      </c>
      <c r="W34" s="170" t="s">
        <v>134</v>
      </c>
      <c r="X34" s="174">
        <v>1.32E-2</v>
      </c>
      <c r="Y34" s="171"/>
      <c r="Z34" s="174">
        <v>4.7100000000000003E-2</v>
      </c>
      <c r="AA34" s="174">
        <v>4.1200000000000001E-2</v>
      </c>
      <c r="AC34" s="168">
        <f>IF($F$33&gt;=800,AE43,IF($F$33&gt;=780,AE42,IF($F$33&gt;=760,AE41,IF($F$33&gt;=740,AE40,IF($F$33&gt;=720,AE39,IF($F$33&gt;=700,AE38,IF($F$33&gt;=680,AE37,IF($F$33&gt;=660,AE36,IF($F$33&gt;=640,AE35,IF($F$33&gt;=620,AE34,0))))))))))</f>
        <v>1.8E-3</v>
      </c>
      <c r="AD34" s="170" t="s">
        <v>134</v>
      </c>
      <c r="AE34" s="174">
        <v>7.0000000000000001E-3</v>
      </c>
      <c r="AF34" s="171"/>
      <c r="AG34" s="174">
        <v>3.6900000000000002E-2</v>
      </c>
      <c r="AH34" s="174">
        <v>2.81E-2</v>
      </c>
    </row>
    <row r="35" spans="5:34" ht="15.75" customHeight="1" x14ac:dyDescent="0.25">
      <c r="E35" s="167" t="s">
        <v>123</v>
      </c>
      <c r="F35" s="178">
        <f>IF($F$32&gt;0.97,0,IF(AND($F$32&gt;0.95,$F$34=1),H34,IF(AND($F$32&gt;0.95,$F$34="Multi"),V34,IF(AND($F$32&gt;0.9,$F$34=1),H47,IF(AND($F$32&gt;0.9,$F$34="Multi"),V47,IF(AND($F$32&gt;0.85,$F$34=1),O34,IF(AND($F$32&gt;0.85,$F$34="Multi"),AC34,IF(AND($F$32&gt;0.8,$F$34=1),O47,IF(AND($F$32&gt;0.8,$F$34="Multi"),AC47,)))))))))</f>
        <v>0</v>
      </c>
      <c r="H35" s="168">
        <f>IF($F$33&gt;=800,K43,IF($F$33&gt;=780,K42,IF($F$33&gt;=760,K41,IF($F$33&gt;=740,K40,IF($F$33&gt;=720,K39,IF($F$33&gt;=700,K38,IF($F$33&gt;=680,K37,IF($F$33&gt;=660,K36,IF($F$33&gt;=640,K35,IF($F$33&gt;=620,K34,0))))))))))</f>
        <v>5.4999999999999997E-3</v>
      </c>
      <c r="I35" s="170" t="s">
        <v>135</v>
      </c>
      <c r="J35" s="174">
        <v>1.3100000000000001E-2</v>
      </c>
      <c r="K35" s="171"/>
      <c r="L35" s="174">
        <v>4.5100000000000001E-2</v>
      </c>
      <c r="M35" s="174">
        <v>4.1000000000000002E-2</v>
      </c>
      <c r="O35" s="168">
        <f>IF($F$33&gt;=800,R43,IF($F$33&gt;=780,R42,IF($F$33&gt;=760,R41,IF($F$33&gt;=740,R40,IF($F$33&gt;=720,R39,IF($F$33&gt;=700,R38,IF($F$33&gt;=680,R37,IF($F$33&gt;=660,R36,IF($F$33&gt;=640,R35,IF($F$33&gt;=620,R34,0))))))))))</f>
        <v>3.5000000000000001E-3</v>
      </c>
      <c r="P35" s="170" t="s">
        <v>135</v>
      </c>
      <c r="Q35" s="174">
        <v>8.5000000000000006E-3</v>
      </c>
      <c r="R35" s="171"/>
      <c r="S35" s="174">
        <v>3.5099999999999999E-2</v>
      </c>
      <c r="T35" s="174">
        <v>2.6499999999999999E-2</v>
      </c>
      <c r="V35" s="168">
        <f>IF($F$33&gt;=800,Y43,IF($F$33&gt;=780,Y42,IF($F$33&gt;=760,Y41,IF($F$33&gt;=740,Y40,IF($F$33&gt;=720,Y39,IF($F$33&gt;=700,Y38,IF($F$33&gt;=680,Y37,IF($F$33&gt;=660,Y36,IF($F$33&gt;=640,Y35,IF($F$33&gt;=620,Y34,0))))))))))</f>
        <v>3.5000000000000001E-3</v>
      </c>
      <c r="W35" s="170" t="s">
        <v>135</v>
      </c>
      <c r="X35" s="174">
        <v>1.1299999999999999E-2</v>
      </c>
      <c r="Y35" s="171"/>
      <c r="Z35" s="174">
        <v>4.2799999999999998E-2</v>
      </c>
      <c r="AA35" s="174">
        <v>3.8699999999999998E-2</v>
      </c>
      <c r="AC35" s="168">
        <f>IF($F$33&gt;=800,AF43,IF($F$33&gt;=780,AF42,IF($F$33&gt;=760,AF41,IF($F$33&gt;=740,AF40,IF($F$33&gt;=720,AF39,IF($F$33&gt;=700,AF38,IF($F$33&gt;=680,AF37,IF($F$33&gt;=660,AF36,IF($F$33&gt;=640,AF35,IF($F$33&gt;=620,AF34,0))))))))))</f>
        <v>3.0000000000000001E-3</v>
      </c>
      <c r="AD35" s="170" t="s">
        <v>135</v>
      </c>
      <c r="AE35" s="174">
        <v>7.1000000000000004E-3</v>
      </c>
      <c r="AF35" s="171"/>
      <c r="AG35" s="174">
        <v>3.39E-2</v>
      </c>
      <c r="AH35" s="174">
        <v>2.53E-2</v>
      </c>
    </row>
    <row r="36" spans="5:34" ht="15.75" customHeight="1" x14ac:dyDescent="0.25">
      <c r="E36" s="167" t="s">
        <v>124</v>
      </c>
      <c r="F36" s="179">
        <f>IF($F$32&gt;0.97,0,IF(AND($F$32&gt;0.95,$F$34=1),F40+H35,IF(AND($F$32&gt;0.95,$F$34="Multi"),F40+V35,IF(AND($F$32&gt;0.9,$F$34=1),F40+H48,IF(AND($F$32&gt;0.9,$F$34="Multi"),F40+V48,IF(AND($F$32&gt;0.85,$F$34=1),F40+O35,IF(AND($F$32&gt;0.85,$F$34="Multi"),F40+AC35,IF(AND($F$32&gt;0.8,$F$34=1),F40+O48,IF(AND($F$32&gt;0.8,$F$34="Multi"),F40+AC48,)))))))))</f>
        <v>0</v>
      </c>
      <c r="H36" s="168">
        <f>IF($F$33&gt;=800,L43,IF($F$33&gt;=780,L42,IF($F$33&gt;=760,L41,IF($F$33&gt;=740,L40,IF($F$33&gt;=720,L39,IF($F$33&gt;=700,L38,IF($F$33&gt;=680,L37,IF($F$33&gt;=660,L36,IF($F$33&gt;=640,L35,IF($F$33&gt;=620,L34,0))))))))))</f>
        <v>1.17E-2</v>
      </c>
      <c r="I36" s="170" t="s">
        <v>136</v>
      </c>
      <c r="J36" s="174">
        <v>1.17E-2</v>
      </c>
      <c r="K36" s="171"/>
      <c r="L36" s="174">
        <v>4.1099999999999998E-2</v>
      </c>
      <c r="M36" s="174">
        <v>3.8600000000000002E-2</v>
      </c>
      <c r="O36" s="168">
        <f>IF($F$33&gt;=800,S43,IF($F$33&gt;=780,S42,IF($F$33&gt;=760,S41,IF($F$33&gt;=740,S40,IF($F$33&gt;=720,S39,IF($F$33&gt;=700,S38,IF($F$33&gt;=680,S37,IF($F$33&gt;=660,S36,IF($F$33&gt;=640,S35,IF($F$33&gt;=620,S34,0))))))))))</f>
        <v>9.4000000000000004E-3</v>
      </c>
      <c r="P36" s="170" t="s">
        <v>136</v>
      </c>
      <c r="Q36" s="174">
        <v>7.7000000000000002E-3</v>
      </c>
      <c r="R36" s="171"/>
      <c r="S36" s="174">
        <v>3.2800000000000003E-2</v>
      </c>
      <c r="T36" s="174">
        <v>2.5000000000000001E-2</v>
      </c>
      <c r="V36" s="168">
        <f>IF($F$33&gt;=800,Z43,IF($F$33&gt;=780,Z42,IF($F$33&gt;=760,Z41,IF($F$33&gt;=740,Z40,IF($F$33&gt;=720,Z39,IF($F$33&gt;=700,Z38,IF($F$33&gt;=680,Z37,IF($F$33&gt;=660,Z36,IF($F$33&gt;=640,Z35,IF($F$33&gt;=620,Z34,0))))))))))</f>
        <v>9.9000000000000008E-3</v>
      </c>
      <c r="W36" s="170" t="s">
        <v>136</v>
      </c>
      <c r="X36" s="174">
        <v>1.01E-2</v>
      </c>
      <c r="Y36" s="171"/>
      <c r="Z36" s="174">
        <v>3.8899999999999997E-2</v>
      </c>
      <c r="AA36" s="174">
        <v>3.6400000000000002E-2</v>
      </c>
      <c r="AC36" s="168">
        <f>IF($F$33&gt;=800,AG43,IF($F$33&gt;=780,AG42,IF($F$33&gt;=760,AG41,IF($F$33&gt;=740,AG40,IF($F$33&gt;=720,AG39,IF($F$33&gt;=700,AG38,IF($F$33&gt;=680,AG37,IF($F$33&gt;=660,AG36,IF($F$33&gt;=640,AG35,IF($F$33&gt;=620,AG34,0))))))))))</f>
        <v>8.3999999999999995E-3</v>
      </c>
      <c r="AD36" s="170" t="s">
        <v>136</v>
      </c>
      <c r="AE36" s="174">
        <v>6.6E-3</v>
      </c>
      <c r="AF36" s="171"/>
      <c r="AG36" s="174">
        <v>3.2000000000000001E-2</v>
      </c>
      <c r="AH36" s="174">
        <v>2.3900000000000001E-2</v>
      </c>
    </row>
    <row r="37" spans="5:34" ht="15.75" customHeight="1" x14ac:dyDescent="0.25">
      <c r="E37" s="167" t="s">
        <v>125</v>
      </c>
      <c r="F37" s="178">
        <f t="shared" ref="F37:F38" si="2">IF($F$32&gt;0.97,0,IF(AND($F$32&gt;0.95,$F$34=1),H36,IF(AND($F$32&gt;0.95,$F$34="Multi"),V36,IF(AND($F$32&gt;0.9,$F$34=1),H49,IF(AND($F$32&gt;0.9,$F$34="Multi"),V49,IF(AND($F$32&gt;0.85,$F$34=1),O36,IF(AND($F$32&gt;0.85,$F$34="Multi"),AC36,IF(AND($F$32&gt;0.8,$F$34=1),O49,IF(AND($F$32&gt;0.8,$F$34="Multi"),AC49,)))))))))</f>
        <v>0</v>
      </c>
      <c r="H37" s="168">
        <f>IF($F$33&gt;=800,M43,IF($F$33&gt;=780,M42,IF($F$33&gt;=760,M41,IF($F$33&gt;=740,M40,IF($F$33&gt;=720,M39,IF($F$33&gt;=700,M38,IF($F$33&gt;=680,M37,IF($F$33&gt;=660,M36,IF($F$33&gt;=640,M35,IF($F$33&gt;=620,M34,0))))))))))</f>
        <v>1.3599999999999999E-2</v>
      </c>
      <c r="I37" s="170" t="s">
        <v>139</v>
      </c>
      <c r="J37" s="174">
        <v>8.2000000000000007E-3</v>
      </c>
      <c r="K37" s="171"/>
      <c r="L37" s="174">
        <v>3.0700000000000002E-2</v>
      </c>
      <c r="M37" s="174">
        <v>3.0599999999999999E-2</v>
      </c>
      <c r="O37" s="168">
        <f>IF($F$33&gt;=800,T43,IF($F$33&gt;=780,T42,IF($F$33&gt;=760,T41,IF($F$33&gt;=740,T40,IF($F$33&gt;=720,T39,IF($F$33&gt;=700,T38,IF($F$33&gt;=680,T37,IF($F$33&gt;=660,T36,IF($F$33&gt;=640,T35,IF($F$33&gt;=620,T34,0))))))))))</f>
        <v>8.6999999999999994E-3</v>
      </c>
      <c r="P37" s="170" t="s">
        <v>139</v>
      </c>
      <c r="Q37" s="174">
        <v>5.4999999999999997E-3</v>
      </c>
      <c r="R37" s="171"/>
      <c r="S37" s="174">
        <v>2.1700000000000001E-2</v>
      </c>
      <c r="T37" s="174">
        <v>1.9900000000000001E-2</v>
      </c>
      <c r="V37" s="168">
        <f>IF($F$33&gt;=800,AA43,IF($F$33&gt;=780,AA42,IF($F$33&gt;=760,AA41,IF($F$33&gt;=740,AA40,IF($F$33&gt;=720,AA39,IF($F$33&gt;=700,AA38,IF($F$33&gt;=680,AA37,IF($F$33&gt;=660,AA36,IF($F$33&gt;=640,AA35,IF($F$33&gt;=620,AA34,0))))))))))</f>
        <v>1.18E-2</v>
      </c>
      <c r="W37" s="170" t="s">
        <v>139</v>
      </c>
      <c r="X37" s="174">
        <v>7.1000000000000004E-3</v>
      </c>
      <c r="Y37" s="171"/>
      <c r="Z37" s="174">
        <v>2.86E-2</v>
      </c>
      <c r="AA37" s="174">
        <v>2.8500000000000001E-2</v>
      </c>
      <c r="AC37" s="168">
        <f>IF($F$33&gt;=800,AH43,IF($F$33&gt;=780,AH42,IF($F$33&gt;=760,AH41,IF($F$33&gt;=740,AH40,IF($F$33&gt;=720,AH39,IF($F$33&gt;=700,AH38,IF($F$33&gt;=680,AH37,IF($F$33&gt;=660,AH36,IF($F$33&gt;=640,AH35,IF($F$33&gt;=620,AH34,0))))))))))</f>
        <v>7.7000000000000002E-3</v>
      </c>
      <c r="AD37" s="170" t="s">
        <v>139</v>
      </c>
      <c r="AE37" s="174">
        <v>4.4999999999999997E-3</v>
      </c>
      <c r="AF37" s="171"/>
      <c r="AG37" s="174">
        <v>2.1700000000000001E-2</v>
      </c>
      <c r="AH37" s="174">
        <v>1.8800000000000001E-2</v>
      </c>
    </row>
    <row r="38" spans="5:34" ht="15.75" customHeight="1" x14ac:dyDescent="0.25">
      <c r="E38" s="167" t="s">
        <v>126</v>
      </c>
      <c r="F38" s="178">
        <f t="shared" si="2"/>
        <v>0</v>
      </c>
      <c r="I38" s="170" t="s">
        <v>144</v>
      </c>
      <c r="J38" s="174">
        <v>7.1000000000000004E-3</v>
      </c>
      <c r="K38" s="171"/>
      <c r="L38" s="174">
        <v>2.47E-2</v>
      </c>
      <c r="M38" s="174">
        <v>2.6499999999999999E-2</v>
      </c>
      <c r="P38" s="170" t="s">
        <v>144</v>
      </c>
      <c r="Q38" s="174">
        <v>4.3E-3</v>
      </c>
      <c r="R38" s="171"/>
      <c r="S38" s="174">
        <v>1.9699999999999999E-2</v>
      </c>
      <c r="T38" s="174">
        <v>1.7500000000000002E-2</v>
      </c>
      <c r="W38" s="170" t="s">
        <v>144</v>
      </c>
      <c r="X38" s="174">
        <v>6.1999999999999998E-3</v>
      </c>
      <c r="Y38" s="171"/>
      <c r="Z38" s="174">
        <v>2.2700000000000001E-2</v>
      </c>
      <c r="AA38" s="174">
        <v>2.4500000000000001E-2</v>
      </c>
      <c r="AD38" s="170" t="s">
        <v>144</v>
      </c>
      <c r="AE38" s="174">
        <v>3.5999999999999999E-3</v>
      </c>
      <c r="AF38" s="171"/>
      <c r="AG38" s="174">
        <v>1.8700000000000001E-2</v>
      </c>
      <c r="AH38" s="174">
        <v>1.6500000000000001E-2</v>
      </c>
    </row>
    <row r="39" spans="5:34" ht="15.75" customHeight="1" x14ac:dyDescent="0.25">
      <c r="I39" s="170" t="s">
        <v>145</v>
      </c>
      <c r="J39" s="174">
        <v>6.1000000000000004E-3</v>
      </c>
      <c r="K39" s="171"/>
      <c r="L39" s="174">
        <v>2.1000000000000001E-2</v>
      </c>
      <c r="M39" s="174">
        <v>2.3099999999999999E-2</v>
      </c>
      <c r="P39" s="170" t="s">
        <v>145</v>
      </c>
      <c r="Q39" s="174">
        <v>3.5999999999999999E-3</v>
      </c>
      <c r="R39" s="171">
        <v>6.2500000000000003E-3</v>
      </c>
      <c r="S39" s="174">
        <v>1.6E-2</v>
      </c>
      <c r="T39" s="174">
        <v>1.4800000000000001E-2</v>
      </c>
      <c r="W39" s="170" t="s">
        <v>145</v>
      </c>
      <c r="X39" s="174">
        <v>5.1000000000000004E-3</v>
      </c>
      <c r="Y39" s="171"/>
      <c r="Z39" s="174">
        <v>1.9E-2</v>
      </c>
      <c r="AA39" s="174">
        <v>2.1100000000000001E-2</v>
      </c>
      <c r="AD39" s="170" t="s">
        <v>145</v>
      </c>
      <c r="AE39" s="174">
        <v>3.0000000000000001E-3</v>
      </c>
      <c r="AF39" s="171">
        <v>6.2500000000000003E-3</v>
      </c>
      <c r="AG39" s="174">
        <v>1.54E-2</v>
      </c>
      <c r="AH39" s="174">
        <v>1.38E-2</v>
      </c>
    </row>
    <row r="40" spans="5:34" ht="15.75" customHeight="1" x14ac:dyDescent="0.25">
      <c r="E40" s="167" t="s">
        <v>114</v>
      </c>
      <c r="F40" s="23">
        <f>'Payment Summaries'!$H$11</f>
        <v>6.25E-2</v>
      </c>
      <c r="I40" s="170" t="s">
        <v>146</v>
      </c>
      <c r="J40" s="174">
        <v>5.1999999999999998E-3</v>
      </c>
      <c r="K40" s="171">
        <v>8.7500000000000008E-3</v>
      </c>
      <c r="L40" s="174">
        <v>1.67E-2</v>
      </c>
      <c r="M40" s="174">
        <v>1.8800000000000001E-2</v>
      </c>
      <c r="P40" s="170" t="s">
        <v>146</v>
      </c>
      <c r="Q40" s="174">
        <v>2.8E-3</v>
      </c>
      <c r="R40" s="171">
        <v>5.4999999999999997E-3</v>
      </c>
      <c r="S40" s="174">
        <v>1.34E-2</v>
      </c>
      <c r="T40" s="174">
        <v>1.1599999999999999E-2</v>
      </c>
      <c r="W40" s="170" t="s">
        <v>146</v>
      </c>
      <c r="X40" s="174">
        <v>4.3E-3</v>
      </c>
      <c r="Y40" s="171">
        <v>6.2500000000000003E-3</v>
      </c>
      <c r="Z40" s="174">
        <v>1.47E-2</v>
      </c>
      <c r="AA40" s="174">
        <v>1.6799999999999999E-2</v>
      </c>
      <c r="AD40" s="170" t="s">
        <v>146</v>
      </c>
      <c r="AE40" s="174">
        <v>2.3999999999999998E-3</v>
      </c>
      <c r="AF40" s="171">
        <v>5.4999999999999997E-3</v>
      </c>
      <c r="AG40" s="174">
        <v>1.24E-2</v>
      </c>
      <c r="AH40" s="174">
        <v>1.06E-2</v>
      </c>
    </row>
    <row r="41" spans="5:34" ht="15.75" customHeight="1" x14ac:dyDescent="0.25">
      <c r="I41" s="170" t="s">
        <v>147</v>
      </c>
      <c r="J41" s="174">
        <v>4.1000000000000003E-3</v>
      </c>
      <c r="K41" s="171">
        <v>5.4999999999999997E-3</v>
      </c>
      <c r="L41" s="174">
        <v>1.17E-2</v>
      </c>
      <c r="M41" s="174">
        <v>1.3599999999999999E-2</v>
      </c>
      <c r="P41" s="170" t="s">
        <v>147</v>
      </c>
      <c r="Q41" s="174">
        <v>2E-3</v>
      </c>
      <c r="R41" s="171">
        <v>3.5000000000000001E-3</v>
      </c>
      <c r="S41" s="174">
        <v>9.4000000000000004E-3</v>
      </c>
      <c r="T41" s="174">
        <v>8.6999999999999994E-3</v>
      </c>
      <c r="W41" s="170" t="s">
        <v>147</v>
      </c>
      <c r="X41" s="174">
        <v>2.7000000000000001E-3</v>
      </c>
      <c r="Y41" s="171">
        <v>3.5000000000000001E-3</v>
      </c>
      <c r="Z41" s="174">
        <v>9.9000000000000008E-3</v>
      </c>
      <c r="AA41" s="174">
        <v>1.18E-2</v>
      </c>
      <c r="AD41" s="170" t="s">
        <v>147</v>
      </c>
      <c r="AE41" s="174">
        <v>1.8E-3</v>
      </c>
      <c r="AF41" s="171">
        <v>3.0000000000000001E-3</v>
      </c>
      <c r="AG41" s="174">
        <v>8.3999999999999995E-3</v>
      </c>
      <c r="AH41" s="174">
        <v>7.7000000000000002E-3</v>
      </c>
    </row>
    <row r="42" spans="5:34" ht="15.75" customHeight="1" x14ac:dyDescent="0.25">
      <c r="I42" s="170" t="s">
        <v>149</v>
      </c>
      <c r="J42" s="174">
        <v>4.1000000000000003E-3</v>
      </c>
      <c r="K42" s="171">
        <v>5.4999999999999997E-3</v>
      </c>
      <c r="L42" s="174">
        <v>1.11E-2</v>
      </c>
      <c r="M42" s="174">
        <v>1.3599999999999999E-2</v>
      </c>
      <c r="P42" s="170" t="s">
        <v>149</v>
      </c>
      <c r="Q42" s="174">
        <v>2E-3</v>
      </c>
      <c r="R42" s="171">
        <v>2.5000000000000001E-3</v>
      </c>
      <c r="S42" s="174">
        <v>8.3000000000000001E-3</v>
      </c>
      <c r="T42" s="174">
        <v>8.6999999999999994E-3</v>
      </c>
      <c r="W42" s="170" t="s">
        <v>149</v>
      </c>
      <c r="X42" s="174">
        <v>2.7000000000000001E-3</v>
      </c>
      <c r="Y42" s="171">
        <v>3.5000000000000001E-3</v>
      </c>
      <c r="Z42" s="174">
        <v>9.2999999999999992E-3</v>
      </c>
      <c r="AA42" s="174">
        <v>1.18E-2</v>
      </c>
      <c r="AD42" s="170" t="s">
        <v>149</v>
      </c>
      <c r="AE42" s="174">
        <v>1.8E-3</v>
      </c>
      <c r="AF42" s="171">
        <v>2E-3</v>
      </c>
      <c r="AG42" s="174">
        <v>7.3000000000000001E-3</v>
      </c>
      <c r="AH42" s="174">
        <v>7.7000000000000002E-3</v>
      </c>
    </row>
    <row r="43" spans="5:34" ht="15.75" customHeight="1" x14ac:dyDescent="0.25">
      <c r="I43" s="170" t="s">
        <v>150</v>
      </c>
      <c r="J43" s="174">
        <v>3.8999999999999998E-3</v>
      </c>
      <c r="K43" s="171">
        <v>3.5000000000000001E-3</v>
      </c>
      <c r="L43" s="174">
        <v>1.0800000000000001E-2</v>
      </c>
      <c r="M43" s="174">
        <v>1.3599999999999999E-2</v>
      </c>
      <c r="P43" s="170" t="s">
        <v>150</v>
      </c>
      <c r="Q43" s="174">
        <v>2E-3</v>
      </c>
      <c r="R43" s="171">
        <v>2E-3</v>
      </c>
      <c r="S43" s="174">
        <v>7.9000000000000008E-3</v>
      </c>
      <c r="T43" s="174">
        <v>8.6999999999999994E-3</v>
      </c>
      <c r="W43" s="170" t="s">
        <v>150</v>
      </c>
      <c r="X43" s="174">
        <v>2.7000000000000001E-3</v>
      </c>
      <c r="Y43" s="171">
        <v>3.0000000000000001E-3</v>
      </c>
      <c r="Z43" s="174">
        <v>8.9999999999999993E-3</v>
      </c>
      <c r="AA43" s="174">
        <v>1.18E-2</v>
      </c>
      <c r="AD43" s="170" t="s">
        <v>150</v>
      </c>
      <c r="AE43" s="174">
        <v>1.6000000000000001E-3</v>
      </c>
      <c r="AF43" s="171">
        <v>2E-3</v>
      </c>
      <c r="AG43" s="174">
        <v>6.8999999999999999E-3</v>
      </c>
      <c r="AH43" s="174">
        <v>7.7000000000000002E-3</v>
      </c>
    </row>
    <row r="44" spans="5:34" ht="15.75" customHeight="1" x14ac:dyDescent="0.25">
      <c r="J44" s="23"/>
      <c r="K44" s="23"/>
      <c r="L44" s="23"/>
      <c r="M44" s="23"/>
      <c r="Q44" s="23"/>
      <c r="R44" s="23"/>
      <c r="S44" s="23"/>
      <c r="T44" s="23"/>
      <c r="X44" s="23"/>
      <c r="Y44" s="23"/>
      <c r="Z44" s="23"/>
      <c r="AA44" s="23"/>
      <c r="AE44" s="23"/>
      <c r="AF44" s="23"/>
      <c r="AG44" s="23"/>
      <c r="AH44" s="23"/>
    </row>
    <row r="45" spans="5:34" ht="15.75" customHeight="1" x14ac:dyDescent="0.25">
      <c r="I45" s="267" t="s">
        <v>162</v>
      </c>
      <c r="J45" s="268"/>
      <c r="K45" s="268"/>
      <c r="L45" s="268"/>
      <c r="M45" s="205"/>
      <c r="P45" s="267" t="s">
        <v>163</v>
      </c>
      <c r="Q45" s="268"/>
      <c r="R45" s="268"/>
      <c r="S45" s="268"/>
      <c r="T45" s="205"/>
      <c r="W45" s="267" t="s">
        <v>164</v>
      </c>
      <c r="X45" s="268"/>
      <c r="Y45" s="268"/>
      <c r="Z45" s="268"/>
      <c r="AA45" s="205"/>
      <c r="AD45" s="267" t="s">
        <v>165</v>
      </c>
      <c r="AE45" s="268"/>
      <c r="AF45" s="268"/>
      <c r="AG45" s="268"/>
      <c r="AH45" s="205"/>
    </row>
    <row r="46" spans="5:34" ht="15.75" customHeight="1" x14ac:dyDescent="0.25">
      <c r="I46" s="170" t="s">
        <v>122</v>
      </c>
      <c r="J46" s="171" t="s">
        <v>123</v>
      </c>
      <c r="K46" s="171" t="s">
        <v>124</v>
      </c>
      <c r="L46" s="171" t="s">
        <v>125</v>
      </c>
      <c r="M46" s="171" t="s">
        <v>126</v>
      </c>
      <c r="P46" s="170" t="s">
        <v>122</v>
      </c>
      <c r="Q46" s="171" t="s">
        <v>123</v>
      </c>
      <c r="R46" s="171" t="s">
        <v>124</v>
      </c>
      <c r="S46" s="171" t="s">
        <v>125</v>
      </c>
      <c r="T46" s="171" t="s">
        <v>126</v>
      </c>
      <c r="W46" s="170" t="s">
        <v>122</v>
      </c>
      <c r="X46" s="171" t="s">
        <v>123</v>
      </c>
      <c r="Y46" s="171" t="s">
        <v>124</v>
      </c>
      <c r="Z46" s="171" t="s">
        <v>125</v>
      </c>
      <c r="AA46" s="171" t="s">
        <v>126</v>
      </c>
      <c r="AD46" s="170" t="s">
        <v>122</v>
      </c>
      <c r="AE46" s="171" t="s">
        <v>123</v>
      </c>
      <c r="AF46" s="171" t="s">
        <v>124</v>
      </c>
      <c r="AG46" s="171" t="s">
        <v>125</v>
      </c>
      <c r="AH46" s="171" t="s">
        <v>126</v>
      </c>
    </row>
    <row r="47" spans="5:34" ht="15.75" customHeight="1" x14ac:dyDescent="0.25">
      <c r="H47" s="168">
        <f>IF($F$33&gt;=800,J56,IF($F$33&gt;=780,J55,IF($F$33&gt;=760,J54,IF($F$33&gt;=740,J53,IF($F$33&gt;=720,J52,IF($F$33&gt;=700,J51,IF($F$33&gt;=680,J50,IF($F$33&gt;=660,J49,IF($F$33&gt;=640,J48,IF($F$33&gt;=620,J47,0))))))))))</f>
        <v>3.0999999999999999E-3</v>
      </c>
      <c r="I47" s="170" t="s">
        <v>134</v>
      </c>
      <c r="J47" s="174">
        <v>1.2500000000000001E-2</v>
      </c>
      <c r="K47" s="171"/>
      <c r="L47" s="174">
        <v>4.3400000000000001E-2</v>
      </c>
      <c r="M47" s="174">
        <v>0.04</v>
      </c>
      <c r="O47" s="168">
        <f>IF($F$33&gt;=800,Q56,IF($F$33&gt;=780,Q55,IF($F$33&gt;=760,Q54,IF($F$33&gt;=740,Q53,IF($F$33&gt;=720,Q52,IF($F$33&gt;=700,Q51,IF($F$33&gt;=680,Q50,IF($F$33&gt;=660,Q49,IF($F$33&gt;=640,Q48,IF($F$33&gt;=620,Q47,0))))))))))</f>
        <v>1.4E-3</v>
      </c>
      <c r="P47" s="170" t="s">
        <v>134</v>
      </c>
      <c r="Q47" s="174">
        <v>4.4000000000000003E-3</v>
      </c>
      <c r="R47" s="171">
        <v>6.2500000000000003E-3</v>
      </c>
      <c r="S47" s="174">
        <v>1.43E-2</v>
      </c>
      <c r="T47" s="174">
        <v>1.2699999999999999E-2</v>
      </c>
      <c r="V47" s="168">
        <f>IF($F$33&gt;=800,X56,IF($F$33&gt;=780,X55,IF($F$33&gt;=760,X54,IF($F$33&gt;=740,X53,IF($F$33&gt;=720,X52,IF($F$33&gt;=700,X51,IF($F$33&gt;=680,X50,IF($F$33&gt;=660,X49,IF($F$33&gt;=640,X48,IF($F$33&gt;=620,X47,0))))))))))</f>
        <v>2.2000000000000001E-3</v>
      </c>
      <c r="W47" s="170" t="s">
        <v>134</v>
      </c>
      <c r="X47" s="174">
        <v>1.09E-2</v>
      </c>
      <c r="Y47" s="171"/>
      <c r="Z47" s="174">
        <v>4.0899999999999999E-2</v>
      </c>
      <c r="AA47" s="174">
        <v>0.04</v>
      </c>
      <c r="AC47" s="168">
        <f>IF($F$33&gt;=800,AE56,IF($F$33&gt;=780,AE55,IF($F$33&gt;=760,AE54,IF($F$33&gt;=740,AE53,IF($F$33&gt;=720,AE52,IF($F$33&gt;=700,AE51,IF($F$33&gt;=680,AE50,IF($F$33&gt;=660,AE49,IF($F$33&gt;=640,AE48,IF($F$33&gt;=620,AE47,0))))))))))</f>
        <v>1.1999999999999999E-3</v>
      </c>
      <c r="AD47" s="170" t="s">
        <v>134</v>
      </c>
      <c r="AE47" s="174">
        <v>3.8999999999999998E-3</v>
      </c>
      <c r="AF47" s="171">
        <v>6.2500000000000003E-3</v>
      </c>
      <c r="AG47" s="174">
        <v>1.3899999999999999E-2</v>
      </c>
      <c r="AH47" s="174">
        <v>1.23E-2</v>
      </c>
    </row>
    <row r="48" spans="5:34" ht="15.75" customHeight="1" x14ac:dyDescent="0.25">
      <c r="H48" s="168">
        <f>IF($F$33&gt;=800,K56,IF($F$33&gt;=780,K55,IF($F$33&gt;=760,K54,IF($F$33&gt;=740,K53,IF($F$33&gt;=720,K52,IF($F$33&gt;=700,K51,IF($F$33&gt;=680,K50,IF($F$33&gt;=660,K49,IF($F$33&gt;=640,K48,IF($F$33&gt;=620,K47,0))))))))))</f>
        <v>3.5000000000000001E-3</v>
      </c>
      <c r="I48" s="170" t="s">
        <v>135</v>
      </c>
      <c r="J48" s="174">
        <v>1.14E-2</v>
      </c>
      <c r="K48" s="171"/>
      <c r="L48" s="174">
        <v>3.9399999999999998E-2</v>
      </c>
      <c r="M48" s="174">
        <v>3.7400000000000003E-2</v>
      </c>
      <c r="O48" s="168">
        <f>IF($F$33&gt;=800,R56,IF($F$33&gt;=780,R55,IF($F$33&gt;=760,R54,IF($F$33&gt;=740,R53,IF($F$33&gt;=720,R52,IF($F$33&gt;=700,R51,IF($F$33&gt;=680,R50,IF($F$33&gt;=660,R49,IF($F$33&gt;=640,R48,IF($F$33&gt;=620,R47,0))))))))))</f>
        <v>1.25E-3</v>
      </c>
      <c r="P48" s="170" t="s">
        <v>135</v>
      </c>
      <c r="Q48" s="174">
        <v>3.8E-3</v>
      </c>
      <c r="R48" s="171">
        <v>5.4999999999999997E-3</v>
      </c>
      <c r="S48" s="174">
        <v>1.34E-2</v>
      </c>
      <c r="T48" s="174">
        <v>1.06E-2</v>
      </c>
      <c r="V48" s="168">
        <f>IF($F$33&gt;=800,Y56,IF($F$33&gt;=780,Y55,IF($F$33&gt;=760,Y54,IF($F$33&gt;=740,Y53,IF($F$33&gt;=720,Y52,IF($F$33&gt;=700,Y51,IF($F$33&gt;=680,Y50,IF($F$33&gt;=660,Y49,IF($F$33&gt;=640,Y48,IF($F$33&gt;=620,Y47,0))))))))))</f>
        <v>3.5000000000000001E-3</v>
      </c>
      <c r="W48" s="170" t="s">
        <v>135</v>
      </c>
      <c r="X48" s="174">
        <v>9.4999999999999998E-3</v>
      </c>
      <c r="Y48" s="171"/>
      <c r="Z48" s="174">
        <v>3.7499999999999999E-2</v>
      </c>
      <c r="AA48" s="174">
        <v>3.5499999999999997E-2</v>
      </c>
      <c r="AC48" s="168">
        <f>IF($F$33&gt;=800,AF56,IF($F$33&gt;=780,AF55,IF($F$33&gt;=760,AF54,IF($F$33&gt;=740,AF53,IF($F$33&gt;=720,AF52,IF($F$33&gt;=700,AF51,IF($F$33&gt;=680,AF50,IF($F$33&gt;=660,AF49,IF($F$33&gt;=640,AF48,IF($F$33&gt;=620,AF47,0))))))))))</f>
        <v>1.25E-3</v>
      </c>
      <c r="AD48" s="170" t="s">
        <v>135</v>
      </c>
      <c r="AE48" s="174">
        <v>3.3E-3</v>
      </c>
      <c r="AF48" s="171">
        <v>6.2500000000000003E-3</v>
      </c>
      <c r="AG48" s="174">
        <v>1.2999999999999999E-2</v>
      </c>
      <c r="AH48" s="174">
        <v>1.0200000000000001E-2</v>
      </c>
    </row>
    <row r="49" spans="8:34" ht="15.75" customHeight="1" x14ac:dyDescent="0.25">
      <c r="H49" s="168">
        <f>IF($F$33&gt;=800,L56,IF($F$33&gt;=780,L55,IF($F$33&gt;=760,L54,IF($F$33&gt;=740,L53,IF($F$33&gt;=720,L52,IF($F$33&gt;=700,L51,IF($F$33&gt;=680,L50,IF($F$33&gt;=660,L49,IF($F$33&gt;=640,L48,IF($F$33&gt;=620,L47,0))))))))))</f>
        <v>1.0699999999999999E-2</v>
      </c>
      <c r="I49" s="170" t="s">
        <v>136</v>
      </c>
      <c r="J49" s="174">
        <v>9.9000000000000008E-3</v>
      </c>
      <c r="K49" s="171"/>
      <c r="L49" s="174">
        <v>3.61E-2</v>
      </c>
      <c r="M49" s="174">
        <v>3.5200000000000002E-2</v>
      </c>
      <c r="O49" s="168">
        <f>IF($F$33&gt;=800,S56,IF($F$33&gt;=780,S55,IF($F$33&gt;=760,S54,IF($F$33&gt;=740,S53,IF($F$33&gt;=720,S52,IF($F$33&gt;=700,S51,IF($F$33&gt;=680,S50,IF($F$33&gt;=660,S49,IF($F$33&gt;=640,S48,IF($F$33&gt;=620,S47,0))))))))))</f>
        <v>4.7000000000000002E-3</v>
      </c>
      <c r="P49" s="170" t="s">
        <v>136</v>
      </c>
      <c r="Q49" s="174">
        <v>3.0999999999999999E-3</v>
      </c>
      <c r="R49" s="171">
        <v>5.4999999999999997E-3</v>
      </c>
      <c r="S49" s="174">
        <v>1.21E-2</v>
      </c>
      <c r="T49" s="174">
        <v>0.01</v>
      </c>
      <c r="V49" s="168">
        <f>IF($F$33&gt;=800,Z56,IF($F$33&gt;=780,Z55,IF($F$33&gt;=760,Z54,IF($F$33&gt;=740,Z53,IF($F$33&gt;=720,Z52,IF($F$33&gt;=700,Z51,IF($F$33&gt;=680,Z50,IF($F$33&gt;=660,Z49,IF($F$33&gt;=640,Z48,IF($F$33&gt;=620,Z47,0))))))))))</f>
        <v>9.2999999999999992E-3</v>
      </c>
      <c r="W49" s="170" t="s">
        <v>136</v>
      </c>
      <c r="X49" s="174">
        <v>8.5000000000000006E-3</v>
      </c>
      <c r="Y49" s="171"/>
      <c r="Z49" s="174">
        <v>3.44E-2</v>
      </c>
      <c r="AA49" s="174">
        <v>3.3500000000000002E-2</v>
      </c>
      <c r="AC49" s="168">
        <f>IF($F$33&gt;=800,AG56,IF($F$33&gt;=780,AG55,IF($F$33&gt;=760,AG54,IF($F$33&gt;=740,AG53,IF($F$33&gt;=720,AG52,IF($F$33&gt;=700,AG51,IF($F$33&gt;=680,AG50,IF($F$33&gt;=660,AG49,IF($F$33&gt;=640,AG48,IF($F$33&gt;=620,AG47,0))))))))))</f>
        <v>4.4000000000000003E-3</v>
      </c>
      <c r="AD49" s="170" t="s">
        <v>136</v>
      </c>
      <c r="AE49" s="174">
        <v>2.5000000000000001E-3</v>
      </c>
      <c r="AF49" s="171">
        <v>5.4999999999999997E-3</v>
      </c>
      <c r="AG49" s="174">
        <v>1.17E-2</v>
      </c>
      <c r="AH49" s="174">
        <v>9.5999999999999992E-3</v>
      </c>
    </row>
    <row r="50" spans="8:34" ht="15.75" customHeight="1" x14ac:dyDescent="0.25">
      <c r="H50" s="168">
        <f>IF($F$33&gt;=800,M56,IF($F$33&gt;=780,M55,IF($F$33&gt;=760,M54,IF($F$33&gt;=740,M53,IF($F$33&gt;=720,M52,IF($F$33&gt;=700,M51,IF($F$33&gt;=680,M50,IF($F$33&gt;=660,M49,IF($F$33&gt;=640,M48,IF($F$33&gt;=620,M47,0))))))))))</f>
        <v>1.2E-2</v>
      </c>
      <c r="I50" s="170" t="s">
        <v>139</v>
      </c>
      <c r="J50" s="174">
        <v>7.3000000000000001E-3</v>
      </c>
      <c r="K50" s="171"/>
      <c r="L50" s="174">
        <v>2.7400000000000001E-2</v>
      </c>
      <c r="M50" s="174">
        <v>2.7900000000000001E-2</v>
      </c>
      <c r="O50" s="168">
        <f>IF($F$33&gt;=800,T56,IF($F$33&gt;=780,T55,IF($F$33&gt;=760,T54,IF($F$33&gt;=740,T53,IF($F$33&gt;=720,T52,IF($F$33&gt;=700,T51,IF($F$33&gt;=680,T50,IF($F$33&gt;=660,T49,IF($F$33&gt;=640,T48,IF($F$33&gt;=620,T47,0))))))))))</f>
        <v>4.7000000000000002E-3</v>
      </c>
      <c r="P50" s="170" t="s">
        <v>139</v>
      </c>
      <c r="Q50" s="174">
        <v>2.2000000000000001E-3</v>
      </c>
      <c r="R50" s="171">
        <v>3.5000000000000001E-3</v>
      </c>
      <c r="S50" s="174">
        <v>8.9999999999999993E-3</v>
      </c>
      <c r="T50" s="174">
        <v>8.5000000000000006E-3</v>
      </c>
      <c r="V50" s="168">
        <f>IF($F$33&gt;=800,AA56,IF($F$33&gt;=780,AA55,IF($F$33&gt;=760,AA54,IF($F$33&gt;=740,AA53,IF($F$33&gt;=720,AA52,IF($F$33&gt;=700,AA51,IF($F$33&gt;=680,AA50,IF($F$33&gt;=660,AA49,IF($F$33&gt;=640,AA48,IF($F$33&gt;=620,AA47,0))))))))))</f>
        <v>1.06E-2</v>
      </c>
      <c r="W50" s="170" t="s">
        <v>139</v>
      </c>
      <c r="X50" s="174">
        <v>6.1000000000000004E-3</v>
      </c>
      <c r="Y50" s="171"/>
      <c r="Z50" s="174">
        <v>2.58E-2</v>
      </c>
      <c r="AA50" s="174">
        <v>2.63E-2</v>
      </c>
      <c r="AC50" s="168">
        <f>IF($F$33&gt;=800,AH56,IF($F$33&gt;=780,AH55,IF($F$33&gt;=760,AH54,IF($F$33&gt;=740,AH53,IF($F$33&gt;=720,AH52,IF($F$33&gt;=700,AH51,IF($F$33&gt;=680,AH50,IF($F$33&gt;=660,AH49,IF($F$33&gt;=640,AH48,IF($F$33&gt;=620,AH47,0))))))))))</f>
        <v>4.4000000000000003E-3</v>
      </c>
      <c r="AD50" s="170" t="s">
        <v>139</v>
      </c>
      <c r="AE50" s="174">
        <v>1.8E-3</v>
      </c>
      <c r="AF50" s="171">
        <v>2.5000000000000001E-3</v>
      </c>
      <c r="AG50" s="174">
        <v>8.6E-3</v>
      </c>
      <c r="AH50" s="174">
        <v>8.0999999999999996E-3</v>
      </c>
    </row>
    <row r="51" spans="8:34" ht="15.75" customHeight="1" x14ac:dyDescent="0.25">
      <c r="I51" s="170" t="s">
        <v>144</v>
      </c>
      <c r="J51" s="174">
        <v>5.7999999999999996E-3</v>
      </c>
      <c r="K51" s="171"/>
      <c r="L51" s="174">
        <v>2.2100000000000002E-2</v>
      </c>
      <c r="M51" s="174">
        <v>2.41E-2</v>
      </c>
      <c r="P51" s="170" t="s">
        <v>144</v>
      </c>
      <c r="Q51" s="174">
        <v>2E-3</v>
      </c>
      <c r="R51" s="171">
        <v>2E-3</v>
      </c>
      <c r="S51" s="174">
        <v>7.7000000000000002E-3</v>
      </c>
      <c r="T51" s="174">
        <v>7.1000000000000004E-3</v>
      </c>
      <c r="W51" s="170" t="s">
        <v>144</v>
      </c>
      <c r="X51" s="174">
        <v>5.0000000000000001E-3</v>
      </c>
      <c r="Y51" s="171"/>
      <c r="Z51" s="174">
        <v>2.0500000000000001E-2</v>
      </c>
      <c r="AA51" s="174">
        <v>2.2499999999999999E-2</v>
      </c>
      <c r="AD51" s="170" t="s">
        <v>144</v>
      </c>
      <c r="AE51" s="174">
        <v>1.6000000000000001E-3</v>
      </c>
      <c r="AF51" s="171">
        <v>2E-3</v>
      </c>
      <c r="AG51" s="174">
        <v>7.4000000000000003E-3</v>
      </c>
      <c r="AH51" s="174">
        <v>6.7999999999999996E-3</v>
      </c>
    </row>
    <row r="52" spans="8:34" ht="15.75" customHeight="1" x14ac:dyDescent="0.25">
      <c r="I52" s="170" t="s">
        <v>145</v>
      </c>
      <c r="J52" s="174">
        <v>5.0000000000000001E-3</v>
      </c>
      <c r="K52" s="171"/>
      <c r="L52" s="174">
        <v>1.8700000000000001E-2</v>
      </c>
      <c r="M52" s="174">
        <v>2.1100000000000001E-2</v>
      </c>
      <c r="P52" s="170" t="s">
        <v>145</v>
      </c>
      <c r="Q52" s="174">
        <v>1.8E-3</v>
      </c>
      <c r="R52" s="171">
        <v>2E-3</v>
      </c>
      <c r="S52" s="174">
        <v>6.7000000000000002E-3</v>
      </c>
      <c r="T52" s="174">
        <v>6.4000000000000003E-3</v>
      </c>
      <c r="W52" s="170" t="s">
        <v>145</v>
      </c>
      <c r="X52" s="174">
        <v>4.1999999999999997E-3</v>
      </c>
      <c r="Y52" s="171">
        <v>8.7500000000000008E-3</v>
      </c>
      <c r="Z52" s="174">
        <v>1.7299999999999999E-2</v>
      </c>
      <c r="AA52" s="174">
        <v>1.9699999999999999E-2</v>
      </c>
      <c r="AD52" s="170" t="s">
        <v>145</v>
      </c>
      <c r="AE52" s="174">
        <v>1.6000000000000001E-3</v>
      </c>
      <c r="AF52" s="171">
        <v>2E-3</v>
      </c>
      <c r="AG52" s="174">
        <v>6.4000000000000003E-3</v>
      </c>
      <c r="AH52" s="174">
        <v>6.1000000000000004E-3</v>
      </c>
    </row>
    <row r="53" spans="8:34" ht="15.75" customHeight="1" x14ac:dyDescent="0.25">
      <c r="I53" s="170" t="s">
        <v>146</v>
      </c>
      <c r="J53" s="174">
        <v>4.0000000000000001E-3</v>
      </c>
      <c r="K53" s="171">
        <v>6.2500000000000003E-3</v>
      </c>
      <c r="L53" s="174">
        <v>1.5100000000000001E-2</v>
      </c>
      <c r="M53" s="174">
        <v>1.5900000000000001E-2</v>
      </c>
      <c r="P53" s="170" t="s">
        <v>146</v>
      </c>
      <c r="Q53" s="174">
        <v>1.6000000000000001E-3</v>
      </c>
      <c r="R53" s="171">
        <v>2E-3</v>
      </c>
      <c r="S53" s="174">
        <v>5.7000000000000002E-3</v>
      </c>
      <c r="T53" s="174">
        <v>5.4000000000000003E-3</v>
      </c>
      <c r="W53" s="170" t="s">
        <v>146</v>
      </c>
      <c r="X53" s="174">
        <v>3.3999999999999998E-3</v>
      </c>
      <c r="Y53" s="171">
        <v>6.2500000000000003E-3</v>
      </c>
      <c r="Z53" s="174">
        <v>1.37E-2</v>
      </c>
      <c r="AA53" s="174">
        <v>1.4500000000000001E-2</v>
      </c>
      <c r="AD53" s="170" t="s">
        <v>146</v>
      </c>
      <c r="AE53" s="174">
        <v>1.1999999999999999E-3</v>
      </c>
      <c r="AF53" s="171">
        <v>1.25E-3</v>
      </c>
      <c r="AG53" s="174">
        <v>5.4000000000000003E-3</v>
      </c>
      <c r="AH53" s="174">
        <v>5.1000000000000004E-3</v>
      </c>
    </row>
    <row r="54" spans="8:34" ht="15.75" customHeight="1" x14ac:dyDescent="0.25">
      <c r="I54" s="170" t="s">
        <v>147</v>
      </c>
      <c r="J54" s="174">
        <v>3.0999999999999999E-3</v>
      </c>
      <c r="K54" s="171">
        <v>3.5000000000000001E-3</v>
      </c>
      <c r="L54" s="174">
        <v>1.0699999999999999E-2</v>
      </c>
      <c r="M54" s="174">
        <v>1.2E-2</v>
      </c>
      <c r="P54" s="170" t="s">
        <v>147</v>
      </c>
      <c r="Q54" s="174">
        <v>1.4E-3</v>
      </c>
      <c r="R54" s="171">
        <v>1.25E-3</v>
      </c>
      <c r="S54" s="174">
        <v>4.7000000000000002E-3</v>
      </c>
      <c r="T54" s="174">
        <v>4.7000000000000002E-3</v>
      </c>
      <c r="W54" s="170" t="s">
        <v>147</v>
      </c>
      <c r="X54" s="174">
        <v>2.2000000000000001E-3</v>
      </c>
      <c r="Y54" s="171">
        <v>3.5000000000000001E-3</v>
      </c>
      <c r="Z54" s="174">
        <v>9.2999999999999992E-3</v>
      </c>
      <c r="AA54" s="174">
        <v>1.06E-2</v>
      </c>
      <c r="AD54" s="170" t="s">
        <v>147</v>
      </c>
      <c r="AE54" s="174">
        <v>1.1999999999999999E-3</v>
      </c>
      <c r="AF54" s="171">
        <v>1.25E-3</v>
      </c>
      <c r="AG54" s="174">
        <v>4.4000000000000003E-3</v>
      </c>
      <c r="AH54" s="174">
        <v>4.4000000000000003E-3</v>
      </c>
    </row>
    <row r="55" spans="8:34" ht="15.75" customHeight="1" x14ac:dyDescent="0.25">
      <c r="I55" s="170" t="s">
        <v>149</v>
      </c>
      <c r="J55" s="174">
        <v>3.0999999999999999E-3</v>
      </c>
      <c r="K55" s="171">
        <v>2.5000000000000001E-3</v>
      </c>
      <c r="L55" s="174">
        <v>8.9999999999999993E-3</v>
      </c>
      <c r="M55" s="174">
        <v>1.2E-2</v>
      </c>
      <c r="P55" s="170" t="s">
        <v>149</v>
      </c>
      <c r="Q55" s="174">
        <v>1.4E-3</v>
      </c>
      <c r="R55" s="171">
        <v>1.25E-3</v>
      </c>
      <c r="S55" s="174">
        <v>4.7000000000000002E-3</v>
      </c>
      <c r="T55" s="174">
        <v>4.7000000000000002E-3</v>
      </c>
      <c r="W55" s="170" t="s">
        <v>149</v>
      </c>
      <c r="X55" s="174">
        <v>2.2000000000000001E-3</v>
      </c>
      <c r="Y55" s="171">
        <v>2E-3</v>
      </c>
      <c r="Z55" s="174">
        <v>7.6E-3</v>
      </c>
      <c r="AA55" s="174">
        <v>1.06E-2</v>
      </c>
      <c r="AD55" s="170" t="s">
        <v>149</v>
      </c>
      <c r="AE55" s="174">
        <v>1.1999999999999999E-3</v>
      </c>
      <c r="AF55" s="171">
        <v>1.25E-3</v>
      </c>
      <c r="AG55" s="174">
        <v>4.4000000000000003E-3</v>
      </c>
      <c r="AH55" s="174">
        <v>4.4000000000000003E-3</v>
      </c>
    </row>
    <row r="56" spans="8:34" ht="15.75" customHeight="1" x14ac:dyDescent="0.25">
      <c r="I56" s="170" t="s">
        <v>150</v>
      </c>
      <c r="J56" s="174">
        <v>2.8999999999999998E-3</v>
      </c>
      <c r="K56" s="171">
        <v>2.5000000000000001E-3</v>
      </c>
      <c r="L56" s="174">
        <v>8.3999999999999995E-3</v>
      </c>
      <c r="M56" s="174">
        <v>1.2E-2</v>
      </c>
      <c r="P56" s="170" t="s">
        <v>150</v>
      </c>
      <c r="Q56" s="174">
        <v>1.4E-3</v>
      </c>
      <c r="R56" s="171">
        <v>1.25E-3</v>
      </c>
      <c r="S56" s="174">
        <v>4.7000000000000002E-3</v>
      </c>
      <c r="T56" s="174">
        <v>4.7000000000000002E-3</v>
      </c>
      <c r="W56" s="170" t="s">
        <v>150</v>
      </c>
      <c r="X56" s="174">
        <v>2.2000000000000001E-3</v>
      </c>
      <c r="Y56" s="171">
        <v>2E-3</v>
      </c>
      <c r="Z56" s="174">
        <v>7.0000000000000001E-3</v>
      </c>
      <c r="AA56" s="174">
        <v>1.06E-2</v>
      </c>
      <c r="AD56" s="170" t="s">
        <v>150</v>
      </c>
      <c r="AE56" s="174">
        <v>1.1999999999999999E-3</v>
      </c>
      <c r="AF56" s="171">
        <v>1.25E-3</v>
      </c>
      <c r="AG56" s="174">
        <v>4.4000000000000003E-3</v>
      </c>
      <c r="AH56" s="174">
        <v>4.4000000000000003E-3</v>
      </c>
    </row>
    <row r="57" spans="8:34" ht="15.75" customHeight="1" x14ac:dyDescent="0.25">
      <c r="J57" s="23"/>
      <c r="K57" s="23"/>
      <c r="L57" s="23"/>
      <c r="M57" s="23"/>
      <c r="R57" s="23"/>
      <c r="S57" s="23"/>
      <c r="T57" s="23"/>
    </row>
    <row r="58" spans="8:34" ht="15.75" customHeight="1" x14ac:dyDescent="0.25">
      <c r="J58" s="23"/>
      <c r="K58" s="23"/>
      <c r="L58" s="23"/>
      <c r="M58" s="23"/>
      <c r="R58" s="23"/>
      <c r="S58" s="23"/>
      <c r="T58" s="23"/>
    </row>
    <row r="59" spans="8:34" ht="15.75" customHeight="1" x14ac:dyDescent="0.25">
      <c r="J59" s="23"/>
      <c r="K59" s="23"/>
      <c r="L59" s="23"/>
      <c r="M59" s="23"/>
      <c r="R59" s="23"/>
      <c r="S59" s="23"/>
      <c r="T59" s="23"/>
    </row>
    <row r="60" spans="8:34" ht="15.75" customHeight="1" x14ac:dyDescent="0.25">
      <c r="J60" s="23"/>
      <c r="K60" s="23"/>
      <c r="L60" s="23"/>
      <c r="M60" s="23"/>
      <c r="R60" s="23"/>
      <c r="S60" s="23"/>
      <c r="T60" s="23"/>
    </row>
    <row r="61" spans="8:34" ht="15.75" customHeight="1" x14ac:dyDescent="0.25">
      <c r="J61" s="23"/>
      <c r="K61" s="23"/>
      <c r="L61" s="23"/>
      <c r="M61" s="23"/>
      <c r="R61" s="23"/>
      <c r="S61" s="23"/>
      <c r="T61" s="23"/>
    </row>
    <row r="62" spans="8:34" ht="15.75" customHeight="1" x14ac:dyDescent="0.25">
      <c r="J62" s="23"/>
      <c r="K62" s="23"/>
      <c r="L62" s="23"/>
      <c r="M62" s="23"/>
      <c r="R62" s="23"/>
      <c r="S62" s="23"/>
      <c r="T62" s="23"/>
    </row>
    <row r="63" spans="8:34" ht="15.75" customHeight="1" x14ac:dyDescent="0.25">
      <c r="J63" s="23"/>
      <c r="K63" s="23"/>
      <c r="L63" s="23"/>
      <c r="M63" s="23"/>
      <c r="R63" s="23"/>
      <c r="S63" s="23"/>
      <c r="T63" s="23"/>
    </row>
    <row r="64" spans="8:34" ht="15.75" customHeight="1" x14ac:dyDescent="0.25">
      <c r="J64" s="23"/>
      <c r="K64" s="23"/>
      <c r="L64" s="23"/>
      <c r="M64" s="23"/>
      <c r="R64" s="23"/>
      <c r="S64" s="23"/>
      <c r="T64" s="23"/>
    </row>
    <row r="65" spans="10:20" ht="15.75" customHeight="1" x14ac:dyDescent="0.25">
      <c r="J65" s="23"/>
      <c r="K65" s="23"/>
      <c r="L65" s="23"/>
      <c r="M65" s="23"/>
      <c r="R65" s="23"/>
      <c r="S65" s="23"/>
      <c r="T65" s="23"/>
    </row>
    <row r="66" spans="10:20" ht="15.75" customHeight="1" x14ac:dyDescent="0.25">
      <c r="J66" s="23"/>
      <c r="K66" s="23"/>
      <c r="L66" s="23"/>
      <c r="M66" s="23"/>
      <c r="R66" s="23"/>
      <c r="S66" s="23"/>
      <c r="T66" s="23"/>
    </row>
    <row r="67" spans="10:20" ht="15.75" customHeight="1" x14ac:dyDescent="0.25">
      <c r="J67" s="23"/>
      <c r="K67" s="23"/>
      <c r="L67" s="23"/>
      <c r="M67" s="23"/>
      <c r="R67" s="23"/>
      <c r="S67" s="23"/>
      <c r="T67" s="23"/>
    </row>
    <row r="68" spans="10:20" ht="15.75" customHeight="1" x14ac:dyDescent="0.25">
      <c r="J68" s="23"/>
      <c r="K68" s="23"/>
      <c r="L68" s="23"/>
      <c r="M68" s="23"/>
      <c r="R68" s="23"/>
      <c r="S68" s="23"/>
      <c r="T68" s="23"/>
    </row>
    <row r="69" spans="10:20" ht="15.75" customHeight="1" x14ac:dyDescent="0.25">
      <c r="J69" s="23"/>
      <c r="K69" s="23"/>
      <c r="L69" s="23"/>
      <c r="M69" s="23"/>
      <c r="R69" s="23"/>
      <c r="S69" s="23"/>
      <c r="T69" s="23"/>
    </row>
    <row r="70" spans="10:20" ht="15.75" customHeight="1" x14ac:dyDescent="0.25">
      <c r="J70" s="23"/>
      <c r="K70" s="23"/>
      <c r="L70" s="23"/>
      <c r="M70" s="23"/>
      <c r="R70" s="23"/>
      <c r="S70" s="23"/>
      <c r="T70" s="23"/>
    </row>
    <row r="71" spans="10:20" ht="15.75" customHeight="1" x14ac:dyDescent="0.25">
      <c r="J71" s="23"/>
      <c r="K71" s="23"/>
      <c r="L71" s="23"/>
      <c r="M71" s="23"/>
      <c r="R71" s="23"/>
      <c r="S71" s="23"/>
      <c r="T71" s="23"/>
    </row>
    <row r="72" spans="10:20" ht="15.75" customHeight="1" x14ac:dyDescent="0.25">
      <c r="J72" s="23"/>
      <c r="K72" s="23"/>
      <c r="L72" s="23"/>
      <c r="M72" s="23"/>
      <c r="R72" s="23"/>
      <c r="S72" s="23"/>
      <c r="T72" s="23"/>
    </row>
    <row r="73" spans="10:20" ht="15.75" customHeight="1" x14ac:dyDescent="0.25">
      <c r="J73" s="23"/>
      <c r="K73" s="23"/>
      <c r="L73" s="23"/>
      <c r="M73" s="23"/>
      <c r="R73" s="23"/>
      <c r="S73" s="23"/>
      <c r="T73" s="23"/>
    </row>
    <row r="74" spans="10:20" ht="15.75" customHeight="1" x14ac:dyDescent="0.25">
      <c r="J74" s="23"/>
      <c r="K74" s="23"/>
      <c r="L74" s="23"/>
      <c r="M74" s="23"/>
      <c r="R74" s="23"/>
      <c r="S74" s="23"/>
      <c r="T74" s="23"/>
    </row>
    <row r="75" spans="10:20" ht="15.75" customHeight="1" x14ac:dyDescent="0.25">
      <c r="J75" s="23"/>
      <c r="K75" s="23"/>
      <c r="L75" s="23"/>
      <c r="M75" s="23"/>
      <c r="R75" s="23"/>
      <c r="S75" s="23"/>
      <c r="T75" s="23"/>
    </row>
    <row r="76" spans="10:20" ht="15.75" customHeight="1" x14ac:dyDescent="0.25">
      <c r="J76" s="23"/>
      <c r="K76" s="23"/>
      <c r="L76" s="23"/>
      <c r="M76" s="23"/>
      <c r="R76" s="23"/>
      <c r="S76" s="23"/>
      <c r="T76" s="23"/>
    </row>
    <row r="77" spans="10:20" ht="15.75" customHeight="1" x14ac:dyDescent="0.25">
      <c r="J77" s="23"/>
      <c r="K77" s="23"/>
      <c r="L77" s="23"/>
      <c r="M77" s="23"/>
      <c r="R77" s="23"/>
      <c r="S77" s="23"/>
      <c r="T77" s="23"/>
    </row>
    <row r="78" spans="10:20" ht="15.75" customHeight="1" x14ac:dyDescent="0.25">
      <c r="J78" s="23"/>
      <c r="K78" s="23"/>
      <c r="L78" s="23"/>
      <c r="M78" s="23"/>
      <c r="R78" s="23"/>
      <c r="S78" s="23"/>
      <c r="T78" s="23"/>
    </row>
    <row r="79" spans="10:20" ht="15.75" customHeight="1" x14ac:dyDescent="0.25">
      <c r="J79" s="23"/>
      <c r="K79" s="23"/>
      <c r="L79" s="23"/>
      <c r="M79" s="23"/>
      <c r="R79" s="23"/>
      <c r="S79" s="23"/>
      <c r="T79" s="23"/>
    </row>
    <row r="80" spans="10:20" ht="15.75" customHeight="1" x14ac:dyDescent="0.25">
      <c r="J80" s="23"/>
      <c r="K80" s="23"/>
      <c r="L80" s="23"/>
      <c r="M80" s="23"/>
      <c r="R80" s="23"/>
      <c r="S80" s="23"/>
      <c r="T80" s="23"/>
    </row>
    <row r="81" spans="10:20" ht="15.75" customHeight="1" x14ac:dyDescent="0.25">
      <c r="J81" s="23"/>
      <c r="K81" s="23"/>
      <c r="L81" s="23"/>
      <c r="M81" s="23"/>
      <c r="R81" s="23"/>
      <c r="S81" s="23"/>
      <c r="T81" s="23"/>
    </row>
    <row r="82" spans="10:20" ht="15.75" customHeight="1" x14ac:dyDescent="0.25">
      <c r="J82" s="23"/>
      <c r="K82" s="23"/>
      <c r="L82" s="23"/>
      <c r="M82" s="23"/>
      <c r="R82" s="23"/>
      <c r="S82" s="23"/>
      <c r="T82" s="23"/>
    </row>
    <row r="83" spans="10:20" ht="15.75" customHeight="1" x14ac:dyDescent="0.25">
      <c r="J83" s="23"/>
      <c r="K83" s="23"/>
      <c r="L83" s="23"/>
      <c r="M83" s="23"/>
      <c r="R83" s="23"/>
      <c r="S83" s="23"/>
      <c r="T83" s="23"/>
    </row>
    <row r="84" spans="10:20" ht="15.75" customHeight="1" x14ac:dyDescent="0.25">
      <c r="J84" s="23"/>
      <c r="K84" s="23"/>
      <c r="L84" s="23"/>
      <c r="M84" s="23"/>
      <c r="R84" s="23"/>
      <c r="S84" s="23"/>
      <c r="T84" s="23"/>
    </row>
    <row r="85" spans="10:20" ht="15.75" customHeight="1" x14ac:dyDescent="0.25">
      <c r="J85" s="23"/>
      <c r="K85" s="23"/>
      <c r="L85" s="23"/>
      <c r="M85" s="23"/>
      <c r="R85" s="23"/>
      <c r="S85" s="23"/>
      <c r="T85" s="23"/>
    </row>
    <row r="86" spans="10:20" ht="15.75" customHeight="1" x14ac:dyDescent="0.25">
      <c r="J86" s="23"/>
      <c r="K86" s="23"/>
      <c r="L86" s="23"/>
      <c r="M86" s="23"/>
      <c r="R86" s="23"/>
      <c r="S86" s="23"/>
      <c r="T86" s="23"/>
    </row>
    <row r="87" spans="10:20" ht="15.75" customHeight="1" x14ac:dyDescent="0.25">
      <c r="J87" s="23"/>
      <c r="K87" s="23"/>
      <c r="L87" s="23"/>
      <c r="M87" s="23"/>
      <c r="R87" s="23"/>
      <c r="S87" s="23"/>
      <c r="T87" s="23"/>
    </row>
    <row r="88" spans="10:20" ht="15.75" customHeight="1" x14ac:dyDescent="0.25">
      <c r="J88" s="23"/>
      <c r="K88" s="23"/>
      <c r="L88" s="23"/>
      <c r="M88" s="23"/>
      <c r="R88" s="23"/>
      <c r="S88" s="23"/>
      <c r="T88" s="23"/>
    </row>
    <row r="89" spans="10:20" ht="15.75" customHeight="1" x14ac:dyDescent="0.25">
      <c r="J89" s="23"/>
      <c r="K89" s="23"/>
      <c r="L89" s="23"/>
      <c r="M89" s="23"/>
      <c r="R89" s="23"/>
      <c r="S89" s="23"/>
      <c r="T89" s="23"/>
    </row>
    <row r="90" spans="10:20" ht="15.75" customHeight="1" x14ac:dyDescent="0.25">
      <c r="J90" s="23"/>
      <c r="K90" s="23"/>
      <c r="L90" s="23"/>
      <c r="M90" s="23"/>
      <c r="R90" s="23"/>
      <c r="S90" s="23"/>
      <c r="T90" s="23"/>
    </row>
    <row r="91" spans="10:20" ht="15.75" customHeight="1" x14ac:dyDescent="0.25">
      <c r="J91" s="23"/>
      <c r="K91" s="23"/>
      <c r="L91" s="23"/>
      <c r="M91" s="23"/>
      <c r="R91" s="23"/>
      <c r="S91" s="23"/>
      <c r="T91" s="23"/>
    </row>
    <row r="92" spans="10:20" ht="15.75" customHeight="1" x14ac:dyDescent="0.25">
      <c r="J92" s="23"/>
      <c r="K92" s="23"/>
      <c r="L92" s="23"/>
      <c r="M92" s="23"/>
      <c r="R92" s="23"/>
      <c r="S92" s="23"/>
      <c r="T92" s="23"/>
    </row>
    <row r="93" spans="10:20" ht="15.75" customHeight="1" x14ac:dyDescent="0.25">
      <c r="J93" s="23"/>
      <c r="K93" s="23"/>
      <c r="L93" s="23"/>
      <c r="M93" s="23"/>
      <c r="R93" s="23"/>
      <c r="S93" s="23"/>
      <c r="T93" s="23"/>
    </row>
    <row r="94" spans="10:20" ht="15.75" customHeight="1" x14ac:dyDescent="0.25">
      <c r="J94" s="23"/>
      <c r="K94" s="23"/>
      <c r="L94" s="23"/>
      <c r="M94" s="23"/>
      <c r="R94" s="23"/>
      <c r="S94" s="23"/>
      <c r="T94" s="23"/>
    </row>
    <row r="95" spans="10:20" ht="15.75" customHeight="1" x14ac:dyDescent="0.25">
      <c r="J95" s="23"/>
      <c r="K95" s="23"/>
      <c r="L95" s="23"/>
      <c r="M95" s="23"/>
      <c r="R95" s="23"/>
      <c r="S95" s="23"/>
      <c r="T95" s="23"/>
    </row>
    <row r="96" spans="10:20" ht="15.75" customHeight="1" x14ac:dyDescent="0.25">
      <c r="J96" s="23"/>
      <c r="K96" s="23"/>
      <c r="L96" s="23"/>
      <c r="M96" s="23"/>
      <c r="R96" s="23"/>
      <c r="S96" s="23"/>
      <c r="T96" s="23"/>
    </row>
    <row r="97" spans="10:20" ht="15.75" customHeight="1" x14ac:dyDescent="0.25">
      <c r="J97" s="23"/>
      <c r="K97" s="23"/>
      <c r="L97" s="23"/>
      <c r="M97" s="23"/>
      <c r="R97" s="23"/>
      <c r="S97" s="23"/>
      <c r="T97" s="23"/>
    </row>
    <row r="98" spans="10:20" ht="15.75" customHeight="1" x14ac:dyDescent="0.25">
      <c r="J98" s="23"/>
      <c r="K98" s="23"/>
      <c r="L98" s="23"/>
      <c r="M98" s="23"/>
      <c r="R98" s="23"/>
      <c r="S98" s="23"/>
      <c r="T98" s="23"/>
    </row>
    <row r="99" spans="10:20" ht="15.75" customHeight="1" x14ac:dyDescent="0.25">
      <c r="J99" s="23"/>
      <c r="K99" s="23"/>
      <c r="L99" s="23"/>
      <c r="M99" s="23"/>
      <c r="R99" s="23"/>
      <c r="S99" s="23"/>
      <c r="T99" s="23"/>
    </row>
    <row r="100" spans="10:20" ht="15.75" customHeight="1" x14ac:dyDescent="0.25">
      <c r="J100" s="23"/>
      <c r="K100" s="23"/>
      <c r="L100" s="23"/>
      <c r="M100" s="23"/>
      <c r="R100" s="23"/>
      <c r="S100" s="23"/>
      <c r="T100" s="23"/>
    </row>
    <row r="101" spans="10:20" ht="15.75" customHeight="1" x14ac:dyDescent="0.25">
      <c r="J101" s="23"/>
      <c r="K101" s="23"/>
      <c r="L101" s="23"/>
      <c r="M101" s="23"/>
      <c r="R101" s="23"/>
      <c r="S101" s="23"/>
      <c r="T101" s="23"/>
    </row>
    <row r="102" spans="10:20" ht="15.75" customHeight="1" x14ac:dyDescent="0.25">
      <c r="J102" s="23"/>
      <c r="K102" s="23"/>
      <c r="L102" s="23"/>
      <c r="M102" s="23"/>
      <c r="R102" s="23"/>
      <c r="S102" s="23"/>
      <c r="T102" s="23"/>
    </row>
    <row r="103" spans="10:20" ht="15.75" customHeight="1" x14ac:dyDescent="0.25">
      <c r="J103" s="23"/>
      <c r="K103" s="23"/>
      <c r="L103" s="23"/>
      <c r="M103" s="23"/>
      <c r="R103" s="23"/>
      <c r="S103" s="23"/>
      <c r="T103" s="23"/>
    </row>
    <row r="104" spans="10:20" ht="15.75" customHeight="1" x14ac:dyDescent="0.25">
      <c r="J104" s="23"/>
      <c r="K104" s="23"/>
      <c r="L104" s="23"/>
      <c r="M104" s="23"/>
      <c r="R104" s="23"/>
      <c r="S104" s="23"/>
      <c r="T104" s="23"/>
    </row>
    <row r="105" spans="10:20" ht="15.75" customHeight="1" x14ac:dyDescent="0.25">
      <c r="J105" s="23"/>
      <c r="K105" s="23"/>
      <c r="L105" s="23"/>
      <c r="M105" s="23"/>
      <c r="R105" s="23"/>
      <c r="S105" s="23"/>
      <c r="T105" s="23"/>
    </row>
    <row r="106" spans="10:20" ht="15.75" customHeight="1" x14ac:dyDescent="0.25">
      <c r="J106" s="23"/>
      <c r="K106" s="23"/>
      <c r="L106" s="23"/>
      <c r="M106" s="23"/>
      <c r="R106" s="23"/>
      <c r="S106" s="23"/>
      <c r="T106" s="23"/>
    </row>
    <row r="107" spans="10:20" ht="15.75" customHeight="1" x14ac:dyDescent="0.25">
      <c r="J107" s="23"/>
      <c r="K107" s="23"/>
      <c r="L107" s="23"/>
      <c r="M107" s="23"/>
      <c r="R107" s="23"/>
      <c r="S107" s="23"/>
      <c r="T107" s="23"/>
    </row>
    <row r="108" spans="10:20" ht="15.75" customHeight="1" x14ac:dyDescent="0.25">
      <c r="J108" s="23"/>
      <c r="K108" s="23"/>
      <c r="L108" s="23"/>
      <c r="M108" s="23"/>
      <c r="R108" s="23"/>
      <c r="S108" s="23"/>
      <c r="T108" s="23"/>
    </row>
    <row r="109" spans="10:20" ht="15.75" customHeight="1" x14ac:dyDescent="0.25">
      <c r="J109" s="23"/>
      <c r="K109" s="23"/>
      <c r="L109" s="23"/>
      <c r="M109" s="23"/>
      <c r="R109" s="23"/>
      <c r="S109" s="23"/>
      <c r="T109" s="23"/>
    </row>
    <row r="110" spans="10:20" ht="15.75" customHeight="1" x14ac:dyDescent="0.25">
      <c r="J110" s="23"/>
      <c r="K110" s="23"/>
      <c r="L110" s="23"/>
      <c r="M110" s="23"/>
      <c r="R110" s="23"/>
      <c r="S110" s="23"/>
      <c r="T110" s="23"/>
    </row>
    <row r="111" spans="10:20" ht="15.75" customHeight="1" x14ac:dyDescent="0.25">
      <c r="J111" s="23"/>
      <c r="K111" s="23"/>
      <c r="L111" s="23"/>
      <c r="M111" s="23"/>
      <c r="R111" s="23"/>
      <c r="S111" s="23"/>
      <c r="T111" s="23"/>
    </row>
    <row r="112" spans="10:20" ht="15.75" customHeight="1" x14ac:dyDescent="0.25">
      <c r="J112" s="23"/>
      <c r="K112" s="23"/>
      <c r="L112" s="23"/>
      <c r="M112" s="23"/>
      <c r="R112" s="23"/>
      <c r="S112" s="23"/>
      <c r="T112" s="23"/>
    </row>
    <row r="113" spans="10:20" ht="15.75" customHeight="1" x14ac:dyDescent="0.25">
      <c r="J113" s="23"/>
      <c r="K113" s="23"/>
      <c r="L113" s="23"/>
      <c r="M113" s="23"/>
      <c r="R113" s="23"/>
      <c r="S113" s="23"/>
      <c r="T113" s="23"/>
    </row>
    <row r="114" spans="10:20" ht="15.75" customHeight="1" x14ac:dyDescent="0.25">
      <c r="J114" s="23"/>
      <c r="K114" s="23"/>
      <c r="L114" s="23"/>
      <c r="M114" s="23"/>
      <c r="R114" s="23"/>
      <c r="S114" s="23"/>
      <c r="T114" s="23"/>
    </row>
    <row r="115" spans="10:20" ht="15.75" customHeight="1" x14ac:dyDescent="0.25">
      <c r="J115" s="23"/>
      <c r="K115" s="23"/>
      <c r="L115" s="23"/>
      <c r="M115" s="23"/>
      <c r="R115" s="23"/>
      <c r="S115" s="23"/>
      <c r="T115" s="23"/>
    </row>
    <row r="116" spans="10:20" ht="15.75" customHeight="1" x14ac:dyDescent="0.25">
      <c r="J116" s="23"/>
      <c r="K116" s="23"/>
      <c r="L116" s="23"/>
      <c r="M116" s="23"/>
      <c r="R116" s="23"/>
      <c r="S116" s="23"/>
      <c r="T116" s="23"/>
    </row>
    <row r="117" spans="10:20" ht="15.75" customHeight="1" x14ac:dyDescent="0.25">
      <c r="J117" s="23"/>
      <c r="K117" s="23"/>
      <c r="L117" s="23"/>
      <c r="M117" s="23"/>
      <c r="R117" s="23"/>
      <c r="S117" s="23"/>
      <c r="T117" s="23"/>
    </row>
    <row r="118" spans="10:20" ht="15.75" customHeight="1" x14ac:dyDescent="0.25">
      <c r="J118" s="23"/>
      <c r="K118" s="23"/>
      <c r="L118" s="23"/>
      <c r="M118" s="23"/>
      <c r="R118" s="23"/>
      <c r="S118" s="23"/>
      <c r="T118" s="23"/>
    </row>
    <row r="119" spans="10:20" ht="15.75" customHeight="1" x14ac:dyDescent="0.25">
      <c r="J119" s="23"/>
      <c r="K119" s="23"/>
      <c r="L119" s="23"/>
      <c r="M119" s="23"/>
      <c r="R119" s="23"/>
      <c r="S119" s="23"/>
      <c r="T119" s="23"/>
    </row>
    <row r="120" spans="10:20" ht="15.75" customHeight="1" x14ac:dyDescent="0.25">
      <c r="J120" s="23"/>
      <c r="K120" s="23"/>
      <c r="L120" s="23"/>
      <c r="M120" s="23"/>
      <c r="R120" s="23"/>
      <c r="S120" s="23"/>
      <c r="T120" s="23"/>
    </row>
    <row r="121" spans="10:20" ht="15.75" customHeight="1" x14ac:dyDescent="0.25">
      <c r="J121" s="23"/>
      <c r="K121" s="23"/>
      <c r="L121" s="23"/>
      <c r="M121" s="23"/>
      <c r="R121" s="23"/>
      <c r="S121" s="23"/>
      <c r="T121" s="23"/>
    </row>
    <row r="122" spans="10:20" ht="15.75" customHeight="1" x14ac:dyDescent="0.25">
      <c r="J122" s="23"/>
      <c r="K122" s="23"/>
      <c r="L122" s="23"/>
      <c r="M122" s="23"/>
      <c r="R122" s="23"/>
      <c r="S122" s="23"/>
      <c r="T122" s="23"/>
    </row>
    <row r="123" spans="10:20" ht="15.75" customHeight="1" x14ac:dyDescent="0.25">
      <c r="J123" s="23"/>
      <c r="K123" s="23"/>
      <c r="L123" s="23"/>
      <c r="M123" s="23"/>
      <c r="R123" s="23"/>
      <c r="S123" s="23"/>
      <c r="T123" s="23"/>
    </row>
    <row r="124" spans="10:20" ht="15.75" customHeight="1" x14ac:dyDescent="0.25">
      <c r="J124" s="23"/>
      <c r="K124" s="23"/>
      <c r="L124" s="23"/>
      <c r="M124" s="23"/>
      <c r="R124" s="23"/>
      <c r="S124" s="23"/>
      <c r="T124" s="23"/>
    </row>
    <row r="125" spans="10:20" ht="15.75" customHeight="1" x14ac:dyDescent="0.25">
      <c r="J125" s="23"/>
      <c r="K125" s="23"/>
      <c r="L125" s="23"/>
      <c r="M125" s="23"/>
      <c r="R125" s="23"/>
      <c r="S125" s="23"/>
      <c r="T125" s="23"/>
    </row>
    <row r="126" spans="10:20" ht="15.75" customHeight="1" x14ac:dyDescent="0.25">
      <c r="J126" s="23"/>
      <c r="K126" s="23"/>
      <c r="L126" s="23"/>
      <c r="M126" s="23"/>
      <c r="R126" s="23"/>
      <c r="S126" s="23"/>
      <c r="T126" s="23"/>
    </row>
    <row r="127" spans="10:20" ht="15.75" customHeight="1" x14ac:dyDescent="0.25">
      <c r="J127" s="23"/>
      <c r="K127" s="23"/>
      <c r="L127" s="23"/>
      <c r="M127" s="23"/>
      <c r="R127" s="23"/>
      <c r="S127" s="23"/>
      <c r="T127" s="23"/>
    </row>
    <row r="128" spans="10:20" ht="15.75" customHeight="1" x14ac:dyDescent="0.25">
      <c r="J128" s="23"/>
      <c r="K128" s="23"/>
      <c r="L128" s="23"/>
      <c r="M128" s="23"/>
      <c r="R128" s="23"/>
      <c r="S128" s="23"/>
      <c r="T128" s="23"/>
    </row>
    <row r="129" spans="10:20" ht="15.75" customHeight="1" x14ac:dyDescent="0.25">
      <c r="J129" s="23"/>
      <c r="K129" s="23"/>
      <c r="L129" s="23"/>
      <c r="M129" s="23"/>
      <c r="R129" s="23"/>
      <c r="S129" s="23"/>
      <c r="T129" s="23"/>
    </row>
    <row r="130" spans="10:20" ht="15.75" customHeight="1" x14ac:dyDescent="0.25">
      <c r="J130" s="23"/>
      <c r="K130" s="23"/>
      <c r="L130" s="23"/>
      <c r="M130" s="23"/>
      <c r="R130" s="23"/>
      <c r="S130" s="23"/>
      <c r="T130" s="23"/>
    </row>
    <row r="131" spans="10:20" ht="15.75" customHeight="1" x14ac:dyDescent="0.25">
      <c r="J131" s="23"/>
      <c r="K131" s="23"/>
      <c r="L131" s="23"/>
      <c r="M131" s="23"/>
      <c r="R131" s="23"/>
      <c r="S131" s="23"/>
      <c r="T131" s="23"/>
    </row>
    <row r="132" spans="10:20" ht="15.75" customHeight="1" x14ac:dyDescent="0.25">
      <c r="J132" s="23"/>
      <c r="K132" s="23"/>
      <c r="L132" s="23"/>
      <c r="M132" s="23"/>
      <c r="R132" s="23"/>
      <c r="S132" s="23"/>
      <c r="T132" s="23"/>
    </row>
    <row r="133" spans="10:20" ht="15.75" customHeight="1" x14ac:dyDescent="0.25">
      <c r="J133" s="23"/>
      <c r="K133" s="23"/>
      <c r="L133" s="23"/>
      <c r="M133" s="23"/>
      <c r="R133" s="23"/>
      <c r="S133" s="23"/>
      <c r="T133" s="23"/>
    </row>
    <row r="134" spans="10:20" ht="15.75" customHeight="1" x14ac:dyDescent="0.25">
      <c r="J134" s="23"/>
      <c r="K134" s="23"/>
      <c r="L134" s="23"/>
      <c r="M134" s="23"/>
      <c r="R134" s="23"/>
      <c r="S134" s="23"/>
      <c r="T134" s="23"/>
    </row>
    <row r="135" spans="10:20" ht="15.75" customHeight="1" x14ac:dyDescent="0.25">
      <c r="J135" s="23"/>
      <c r="K135" s="23"/>
      <c r="L135" s="23"/>
      <c r="M135" s="23"/>
      <c r="R135" s="23"/>
      <c r="S135" s="23"/>
      <c r="T135" s="23"/>
    </row>
    <row r="136" spans="10:20" ht="15.75" customHeight="1" x14ac:dyDescent="0.25">
      <c r="J136" s="23"/>
      <c r="K136" s="23"/>
      <c r="L136" s="23"/>
      <c r="M136" s="23"/>
      <c r="R136" s="23"/>
      <c r="S136" s="23"/>
      <c r="T136" s="23"/>
    </row>
    <row r="137" spans="10:20" ht="15.75" customHeight="1" x14ac:dyDescent="0.25">
      <c r="J137" s="23"/>
      <c r="K137" s="23"/>
      <c r="L137" s="23"/>
      <c r="M137" s="23"/>
      <c r="R137" s="23"/>
      <c r="S137" s="23"/>
      <c r="T137" s="23"/>
    </row>
    <row r="138" spans="10:20" ht="15.75" customHeight="1" x14ac:dyDescent="0.25">
      <c r="J138" s="23"/>
      <c r="K138" s="23"/>
      <c r="L138" s="23"/>
      <c r="M138" s="23"/>
      <c r="R138" s="23"/>
      <c r="S138" s="23"/>
      <c r="T138" s="23"/>
    </row>
    <row r="139" spans="10:20" ht="15.75" customHeight="1" x14ac:dyDescent="0.25">
      <c r="J139" s="23"/>
      <c r="K139" s="23"/>
      <c r="L139" s="23"/>
      <c r="M139" s="23"/>
      <c r="R139" s="23"/>
      <c r="S139" s="23"/>
      <c r="T139" s="23"/>
    </row>
    <row r="140" spans="10:20" ht="15.75" customHeight="1" x14ac:dyDescent="0.25">
      <c r="J140" s="23"/>
      <c r="K140" s="23"/>
      <c r="L140" s="23"/>
      <c r="M140" s="23"/>
      <c r="R140" s="23"/>
      <c r="S140" s="23"/>
      <c r="T140" s="23"/>
    </row>
    <row r="141" spans="10:20" ht="15.75" customHeight="1" x14ac:dyDescent="0.25">
      <c r="J141" s="23"/>
      <c r="K141" s="23"/>
      <c r="L141" s="23"/>
      <c r="M141" s="23"/>
      <c r="R141" s="23"/>
      <c r="S141" s="23"/>
      <c r="T141" s="23"/>
    </row>
    <row r="142" spans="10:20" ht="15.75" customHeight="1" x14ac:dyDescent="0.25">
      <c r="J142" s="23"/>
      <c r="K142" s="23"/>
      <c r="L142" s="23"/>
      <c r="M142" s="23"/>
      <c r="R142" s="23"/>
      <c r="S142" s="23"/>
      <c r="T142" s="23"/>
    </row>
    <row r="143" spans="10:20" ht="15.75" customHeight="1" x14ac:dyDescent="0.25">
      <c r="J143" s="23"/>
      <c r="K143" s="23"/>
      <c r="L143" s="23"/>
      <c r="M143" s="23"/>
      <c r="R143" s="23"/>
      <c r="S143" s="23"/>
      <c r="T143" s="23"/>
    </row>
    <row r="144" spans="10:20" ht="15.75" customHeight="1" x14ac:dyDescent="0.25">
      <c r="J144" s="23"/>
      <c r="K144" s="23"/>
      <c r="L144" s="23"/>
      <c r="M144" s="23"/>
      <c r="R144" s="23"/>
      <c r="S144" s="23"/>
      <c r="T144" s="23"/>
    </row>
    <row r="145" spans="10:20" ht="15.75" customHeight="1" x14ac:dyDescent="0.25">
      <c r="J145" s="23"/>
      <c r="K145" s="23"/>
      <c r="L145" s="23"/>
      <c r="M145" s="23"/>
      <c r="R145" s="23"/>
      <c r="S145" s="23"/>
      <c r="T145" s="23"/>
    </row>
    <row r="146" spans="10:20" ht="15.75" customHeight="1" x14ac:dyDescent="0.25">
      <c r="J146" s="23"/>
      <c r="K146" s="23"/>
      <c r="L146" s="23"/>
      <c r="M146" s="23"/>
      <c r="R146" s="23"/>
      <c r="S146" s="23"/>
      <c r="T146" s="23"/>
    </row>
    <row r="147" spans="10:20" ht="15.75" customHeight="1" x14ac:dyDescent="0.25">
      <c r="J147" s="23"/>
      <c r="K147" s="23"/>
      <c r="L147" s="23"/>
      <c r="M147" s="23"/>
      <c r="R147" s="23"/>
      <c r="S147" s="23"/>
      <c r="T147" s="23"/>
    </row>
    <row r="148" spans="10:20" ht="15.75" customHeight="1" x14ac:dyDescent="0.25">
      <c r="J148" s="23"/>
      <c r="K148" s="23"/>
      <c r="L148" s="23"/>
      <c r="M148" s="23"/>
      <c r="R148" s="23"/>
      <c r="S148" s="23"/>
      <c r="T148" s="23"/>
    </row>
    <row r="149" spans="10:20" ht="15.75" customHeight="1" x14ac:dyDescent="0.25">
      <c r="J149" s="23"/>
      <c r="K149" s="23"/>
      <c r="L149" s="23"/>
      <c r="M149" s="23"/>
      <c r="R149" s="23"/>
      <c r="S149" s="23"/>
      <c r="T149" s="23"/>
    </row>
    <row r="150" spans="10:20" ht="15.75" customHeight="1" x14ac:dyDescent="0.25">
      <c r="J150" s="23"/>
      <c r="K150" s="23"/>
      <c r="L150" s="23"/>
      <c r="M150" s="23"/>
      <c r="R150" s="23"/>
      <c r="S150" s="23"/>
      <c r="T150" s="23"/>
    </row>
    <row r="151" spans="10:20" ht="15.75" customHeight="1" x14ac:dyDescent="0.25">
      <c r="J151" s="23"/>
      <c r="K151" s="23"/>
      <c r="L151" s="23"/>
      <c r="M151" s="23"/>
      <c r="R151" s="23"/>
      <c r="S151" s="23"/>
      <c r="T151" s="23"/>
    </row>
    <row r="152" spans="10:20" ht="15.75" customHeight="1" x14ac:dyDescent="0.25">
      <c r="J152" s="23"/>
      <c r="K152" s="23"/>
      <c r="L152" s="23"/>
      <c r="M152" s="23"/>
      <c r="R152" s="23"/>
      <c r="S152" s="23"/>
      <c r="T152" s="23"/>
    </row>
    <row r="153" spans="10:20" ht="15.75" customHeight="1" x14ac:dyDescent="0.25">
      <c r="J153" s="23"/>
      <c r="K153" s="23"/>
      <c r="L153" s="23"/>
      <c r="M153" s="23"/>
      <c r="R153" s="23"/>
      <c r="S153" s="23"/>
      <c r="T153" s="23"/>
    </row>
    <row r="154" spans="10:20" ht="15.75" customHeight="1" x14ac:dyDescent="0.25">
      <c r="J154" s="23"/>
      <c r="K154" s="23"/>
      <c r="L154" s="23"/>
      <c r="M154" s="23"/>
      <c r="R154" s="23"/>
      <c r="S154" s="23"/>
      <c r="T154" s="23"/>
    </row>
    <row r="155" spans="10:20" ht="15.75" customHeight="1" x14ac:dyDescent="0.25">
      <c r="J155" s="23"/>
      <c r="K155" s="23"/>
      <c r="L155" s="23"/>
      <c r="M155" s="23"/>
      <c r="R155" s="23"/>
      <c r="S155" s="23"/>
      <c r="T155" s="23"/>
    </row>
    <row r="156" spans="10:20" ht="15.75" customHeight="1" x14ac:dyDescent="0.25">
      <c r="J156" s="23"/>
      <c r="K156" s="23"/>
      <c r="L156" s="23"/>
      <c r="M156" s="23"/>
      <c r="R156" s="23"/>
      <c r="S156" s="23"/>
      <c r="T156" s="23"/>
    </row>
    <row r="157" spans="10:20" ht="15.75" customHeight="1" x14ac:dyDescent="0.25">
      <c r="J157" s="23"/>
      <c r="K157" s="23"/>
      <c r="L157" s="23"/>
      <c r="M157" s="23"/>
      <c r="R157" s="23"/>
      <c r="S157" s="23"/>
      <c r="T157" s="23"/>
    </row>
    <row r="158" spans="10:20" ht="15.75" customHeight="1" x14ac:dyDescent="0.25">
      <c r="J158" s="23"/>
      <c r="K158" s="23"/>
      <c r="L158" s="23"/>
      <c r="M158" s="23"/>
      <c r="R158" s="23"/>
      <c r="S158" s="23"/>
      <c r="T158" s="23"/>
    </row>
    <row r="159" spans="10:20" ht="15.75" customHeight="1" x14ac:dyDescent="0.25">
      <c r="J159" s="23"/>
      <c r="K159" s="23"/>
      <c r="L159" s="23"/>
      <c r="M159" s="23"/>
      <c r="R159" s="23"/>
      <c r="S159" s="23"/>
      <c r="T159" s="23"/>
    </row>
    <row r="160" spans="10:20" ht="15.75" customHeight="1" x14ac:dyDescent="0.25">
      <c r="J160" s="23"/>
      <c r="K160" s="23"/>
      <c r="L160" s="23"/>
      <c r="M160" s="23"/>
      <c r="R160" s="23"/>
      <c r="S160" s="23"/>
      <c r="T160" s="23"/>
    </row>
    <row r="161" spans="10:20" ht="15.75" customHeight="1" x14ac:dyDescent="0.25">
      <c r="J161" s="23"/>
      <c r="K161" s="23"/>
      <c r="L161" s="23"/>
      <c r="M161" s="23"/>
      <c r="R161" s="23"/>
      <c r="S161" s="23"/>
      <c r="T161" s="23"/>
    </row>
    <row r="162" spans="10:20" ht="15.75" customHeight="1" x14ac:dyDescent="0.25">
      <c r="J162" s="23"/>
      <c r="K162" s="23"/>
      <c r="L162" s="23"/>
      <c r="M162" s="23"/>
      <c r="R162" s="23"/>
      <c r="S162" s="23"/>
      <c r="T162" s="23"/>
    </row>
    <row r="163" spans="10:20" ht="15.75" customHeight="1" x14ac:dyDescent="0.25">
      <c r="J163" s="23"/>
      <c r="K163" s="23"/>
      <c r="L163" s="23"/>
      <c r="M163" s="23"/>
      <c r="R163" s="23"/>
      <c r="S163" s="23"/>
      <c r="T163" s="23"/>
    </row>
    <row r="164" spans="10:20" ht="15.75" customHeight="1" x14ac:dyDescent="0.25">
      <c r="J164" s="23"/>
      <c r="K164" s="23"/>
      <c r="L164" s="23"/>
      <c r="M164" s="23"/>
      <c r="R164" s="23"/>
      <c r="S164" s="23"/>
      <c r="T164" s="23"/>
    </row>
    <row r="165" spans="10:20" ht="15.75" customHeight="1" x14ac:dyDescent="0.25">
      <c r="J165" s="23"/>
      <c r="K165" s="23"/>
      <c r="L165" s="23"/>
      <c r="M165" s="23"/>
      <c r="R165" s="23"/>
      <c r="S165" s="23"/>
      <c r="T165" s="23"/>
    </row>
    <row r="166" spans="10:20" ht="15.75" customHeight="1" x14ac:dyDescent="0.25">
      <c r="J166" s="23"/>
      <c r="K166" s="23"/>
      <c r="L166" s="23"/>
      <c r="M166" s="23"/>
      <c r="R166" s="23"/>
      <c r="S166" s="23"/>
      <c r="T166" s="23"/>
    </row>
    <row r="167" spans="10:20" ht="15.75" customHeight="1" x14ac:dyDescent="0.25">
      <c r="J167" s="23"/>
      <c r="K167" s="23"/>
      <c r="L167" s="23"/>
      <c r="M167" s="23"/>
      <c r="R167" s="23"/>
      <c r="S167" s="23"/>
      <c r="T167" s="23"/>
    </row>
    <row r="168" spans="10:20" ht="15.75" customHeight="1" x14ac:dyDescent="0.25">
      <c r="J168" s="23"/>
      <c r="K168" s="23"/>
      <c r="L168" s="23"/>
      <c r="M168" s="23"/>
      <c r="R168" s="23"/>
      <c r="S168" s="23"/>
      <c r="T168" s="23"/>
    </row>
    <row r="169" spans="10:20" ht="15.75" customHeight="1" x14ac:dyDescent="0.25">
      <c r="J169" s="23"/>
      <c r="K169" s="23"/>
      <c r="L169" s="23"/>
      <c r="M169" s="23"/>
      <c r="R169" s="23"/>
      <c r="S169" s="23"/>
      <c r="T169" s="23"/>
    </row>
    <row r="170" spans="10:20" ht="15.75" customHeight="1" x14ac:dyDescent="0.25">
      <c r="J170" s="23"/>
      <c r="K170" s="23"/>
      <c r="L170" s="23"/>
      <c r="M170" s="23"/>
      <c r="R170" s="23"/>
      <c r="S170" s="23"/>
      <c r="T170" s="23"/>
    </row>
    <row r="171" spans="10:20" ht="15.75" customHeight="1" x14ac:dyDescent="0.25">
      <c r="J171" s="23"/>
      <c r="K171" s="23"/>
      <c r="L171" s="23"/>
      <c r="M171" s="23"/>
      <c r="R171" s="23"/>
      <c r="S171" s="23"/>
      <c r="T171" s="23"/>
    </row>
    <row r="172" spans="10:20" ht="15.75" customHeight="1" x14ac:dyDescent="0.25">
      <c r="J172" s="23"/>
      <c r="K172" s="23"/>
      <c r="L172" s="23"/>
      <c r="M172" s="23"/>
      <c r="R172" s="23"/>
      <c r="S172" s="23"/>
      <c r="T172" s="23"/>
    </row>
    <row r="173" spans="10:20" ht="15.75" customHeight="1" x14ac:dyDescent="0.25">
      <c r="J173" s="23"/>
      <c r="K173" s="23"/>
      <c r="L173" s="23"/>
      <c r="M173" s="23"/>
      <c r="R173" s="23"/>
      <c r="S173" s="23"/>
      <c r="T173" s="23"/>
    </row>
    <row r="174" spans="10:20" ht="15.75" customHeight="1" x14ac:dyDescent="0.25">
      <c r="J174" s="23"/>
      <c r="K174" s="23"/>
      <c r="L174" s="23"/>
      <c r="M174" s="23"/>
      <c r="R174" s="23"/>
      <c r="S174" s="23"/>
      <c r="T174" s="23"/>
    </row>
    <row r="175" spans="10:20" ht="15.75" customHeight="1" x14ac:dyDescent="0.25">
      <c r="J175" s="23"/>
      <c r="K175" s="23"/>
      <c r="L175" s="23"/>
      <c r="M175" s="23"/>
      <c r="R175" s="23"/>
      <c r="S175" s="23"/>
      <c r="T175" s="23"/>
    </row>
    <row r="176" spans="10:20" ht="15.75" customHeight="1" x14ac:dyDescent="0.25">
      <c r="J176" s="23"/>
      <c r="K176" s="23"/>
      <c r="L176" s="23"/>
      <c r="M176" s="23"/>
      <c r="R176" s="23"/>
      <c r="S176" s="23"/>
      <c r="T176" s="23"/>
    </row>
    <row r="177" spans="10:20" ht="15.75" customHeight="1" x14ac:dyDescent="0.25">
      <c r="J177" s="23"/>
      <c r="K177" s="23"/>
      <c r="L177" s="23"/>
      <c r="M177" s="23"/>
      <c r="R177" s="23"/>
      <c r="S177" s="23"/>
      <c r="T177" s="23"/>
    </row>
    <row r="178" spans="10:20" ht="15.75" customHeight="1" x14ac:dyDescent="0.25">
      <c r="J178" s="23"/>
      <c r="K178" s="23"/>
      <c r="L178" s="23"/>
      <c r="M178" s="23"/>
      <c r="R178" s="23"/>
      <c r="S178" s="23"/>
      <c r="T178" s="23"/>
    </row>
    <row r="179" spans="10:20" ht="15.75" customHeight="1" x14ac:dyDescent="0.25">
      <c r="J179" s="23"/>
      <c r="K179" s="23"/>
      <c r="L179" s="23"/>
      <c r="M179" s="23"/>
      <c r="R179" s="23"/>
      <c r="S179" s="23"/>
      <c r="T179" s="23"/>
    </row>
    <row r="180" spans="10:20" ht="15.75" customHeight="1" x14ac:dyDescent="0.25">
      <c r="J180" s="23"/>
      <c r="K180" s="23"/>
      <c r="L180" s="23"/>
      <c r="M180" s="23"/>
      <c r="R180" s="23"/>
      <c r="S180" s="23"/>
      <c r="T180" s="23"/>
    </row>
    <row r="181" spans="10:20" ht="15.75" customHeight="1" x14ac:dyDescent="0.25">
      <c r="J181" s="23"/>
      <c r="K181" s="23"/>
      <c r="L181" s="23"/>
      <c r="M181" s="23"/>
      <c r="R181" s="23"/>
      <c r="S181" s="23"/>
      <c r="T181" s="23"/>
    </row>
    <row r="182" spans="10:20" ht="15.75" customHeight="1" x14ac:dyDescent="0.25">
      <c r="J182" s="23"/>
      <c r="K182" s="23"/>
      <c r="L182" s="23"/>
      <c r="M182" s="23"/>
      <c r="R182" s="23"/>
      <c r="S182" s="23"/>
      <c r="T182" s="23"/>
    </row>
    <row r="183" spans="10:20" ht="15.75" customHeight="1" x14ac:dyDescent="0.25">
      <c r="J183" s="23"/>
      <c r="K183" s="23"/>
      <c r="L183" s="23"/>
      <c r="M183" s="23"/>
      <c r="R183" s="23"/>
      <c r="S183" s="23"/>
      <c r="T183" s="23"/>
    </row>
    <row r="184" spans="10:20" ht="15.75" customHeight="1" x14ac:dyDescent="0.25">
      <c r="J184" s="23"/>
      <c r="K184" s="23"/>
      <c r="L184" s="23"/>
      <c r="M184" s="23"/>
      <c r="R184" s="23"/>
      <c r="S184" s="23"/>
      <c r="T184" s="23"/>
    </row>
    <row r="185" spans="10:20" ht="15.75" customHeight="1" x14ac:dyDescent="0.25">
      <c r="J185" s="23"/>
      <c r="K185" s="23"/>
      <c r="L185" s="23"/>
      <c r="M185" s="23"/>
      <c r="R185" s="23"/>
      <c r="S185" s="23"/>
      <c r="T185" s="23"/>
    </row>
    <row r="186" spans="10:20" ht="15.75" customHeight="1" x14ac:dyDescent="0.25">
      <c r="J186" s="23"/>
      <c r="K186" s="23"/>
      <c r="L186" s="23"/>
      <c r="M186" s="23"/>
      <c r="R186" s="23"/>
      <c r="S186" s="23"/>
      <c r="T186" s="23"/>
    </row>
    <row r="187" spans="10:20" ht="15.75" customHeight="1" x14ac:dyDescent="0.25">
      <c r="J187" s="23"/>
      <c r="K187" s="23"/>
      <c r="L187" s="23"/>
      <c r="M187" s="23"/>
      <c r="R187" s="23"/>
      <c r="S187" s="23"/>
      <c r="T187" s="23"/>
    </row>
    <row r="188" spans="10:20" ht="15.75" customHeight="1" x14ac:dyDescent="0.25">
      <c r="J188" s="23"/>
      <c r="K188" s="23"/>
      <c r="L188" s="23"/>
      <c r="M188" s="23"/>
      <c r="R188" s="23"/>
      <c r="S188" s="23"/>
      <c r="T188" s="23"/>
    </row>
    <row r="189" spans="10:20" ht="15.75" customHeight="1" x14ac:dyDescent="0.25">
      <c r="J189" s="23"/>
      <c r="K189" s="23"/>
      <c r="L189" s="23"/>
      <c r="M189" s="23"/>
      <c r="R189" s="23"/>
      <c r="S189" s="23"/>
      <c r="T189" s="23"/>
    </row>
    <row r="190" spans="10:20" ht="15.75" customHeight="1" x14ac:dyDescent="0.25">
      <c r="J190" s="23"/>
      <c r="K190" s="23"/>
      <c r="L190" s="23"/>
      <c r="M190" s="23"/>
      <c r="R190" s="23"/>
      <c r="S190" s="23"/>
      <c r="T190" s="23"/>
    </row>
    <row r="191" spans="10:20" ht="15.75" customHeight="1" x14ac:dyDescent="0.25">
      <c r="J191" s="23"/>
      <c r="K191" s="23"/>
      <c r="L191" s="23"/>
      <c r="M191" s="23"/>
      <c r="R191" s="23"/>
      <c r="S191" s="23"/>
      <c r="T191" s="23"/>
    </row>
    <row r="192" spans="10:20" ht="15.75" customHeight="1" x14ac:dyDescent="0.25">
      <c r="J192" s="23"/>
      <c r="K192" s="23"/>
      <c r="L192" s="23"/>
      <c r="M192" s="23"/>
      <c r="R192" s="23"/>
      <c r="S192" s="23"/>
      <c r="T192" s="23"/>
    </row>
    <row r="193" spans="10:20" ht="15.75" customHeight="1" x14ac:dyDescent="0.25">
      <c r="J193" s="23"/>
      <c r="K193" s="23"/>
      <c r="L193" s="23"/>
      <c r="M193" s="23"/>
      <c r="R193" s="23"/>
      <c r="S193" s="23"/>
      <c r="T193" s="23"/>
    </row>
    <row r="194" spans="10:20" ht="15.75" customHeight="1" x14ac:dyDescent="0.25">
      <c r="J194" s="23"/>
      <c r="K194" s="23"/>
      <c r="L194" s="23"/>
      <c r="M194" s="23"/>
      <c r="R194" s="23"/>
      <c r="S194" s="23"/>
      <c r="T194" s="23"/>
    </row>
    <row r="195" spans="10:20" ht="15.75" customHeight="1" x14ac:dyDescent="0.25">
      <c r="J195" s="23"/>
      <c r="K195" s="23"/>
      <c r="L195" s="23"/>
      <c r="M195" s="23"/>
      <c r="R195" s="23"/>
      <c r="S195" s="23"/>
      <c r="T195" s="23"/>
    </row>
    <row r="196" spans="10:20" ht="15.75" customHeight="1" x14ac:dyDescent="0.25">
      <c r="J196" s="23"/>
      <c r="K196" s="23"/>
      <c r="L196" s="23"/>
      <c r="M196" s="23"/>
      <c r="R196" s="23"/>
      <c r="S196" s="23"/>
      <c r="T196" s="23"/>
    </row>
    <row r="197" spans="10:20" ht="15.75" customHeight="1" x14ac:dyDescent="0.25">
      <c r="J197" s="23"/>
      <c r="K197" s="23"/>
      <c r="L197" s="23"/>
      <c r="M197" s="23"/>
      <c r="R197" s="23"/>
      <c r="S197" s="23"/>
      <c r="T197" s="23"/>
    </row>
    <row r="198" spans="10:20" ht="15.75" customHeight="1" x14ac:dyDescent="0.25">
      <c r="J198" s="23"/>
      <c r="K198" s="23"/>
      <c r="L198" s="23"/>
      <c r="M198" s="23"/>
      <c r="R198" s="23"/>
      <c r="S198" s="23"/>
      <c r="T198" s="23"/>
    </row>
    <row r="199" spans="10:20" ht="15.75" customHeight="1" x14ac:dyDescent="0.25">
      <c r="J199" s="23"/>
      <c r="K199" s="23"/>
      <c r="L199" s="23"/>
      <c r="M199" s="23"/>
      <c r="R199" s="23"/>
      <c r="S199" s="23"/>
      <c r="T199" s="23"/>
    </row>
    <row r="200" spans="10:20" ht="15.75" customHeight="1" x14ac:dyDescent="0.25">
      <c r="J200" s="23"/>
      <c r="K200" s="23"/>
      <c r="L200" s="23"/>
      <c r="M200" s="23"/>
      <c r="R200" s="23"/>
      <c r="S200" s="23"/>
      <c r="T200" s="23"/>
    </row>
    <row r="201" spans="10:20" ht="15.75" customHeight="1" x14ac:dyDescent="0.25">
      <c r="J201" s="23"/>
      <c r="K201" s="23"/>
      <c r="L201" s="23"/>
      <c r="M201" s="23"/>
      <c r="R201" s="23"/>
      <c r="S201" s="23"/>
      <c r="T201" s="23"/>
    </row>
    <row r="202" spans="10:20" ht="15.75" customHeight="1" x14ac:dyDescent="0.25">
      <c r="J202" s="23"/>
      <c r="K202" s="23"/>
      <c r="L202" s="23"/>
      <c r="M202" s="23"/>
      <c r="R202" s="23"/>
      <c r="S202" s="23"/>
      <c r="T202" s="23"/>
    </row>
    <row r="203" spans="10:20" ht="15.75" customHeight="1" x14ac:dyDescent="0.25">
      <c r="J203" s="23"/>
      <c r="K203" s="23"/>
      <c r="L203" s="23"/>
      <c r="M203" s="23"/>
      <c r="R203" s="23"/>
      <c r="S203" s="23"/>
      <c r="T203" s="23"/>
    </row>
    <row r="204" spans="10:20" ht="15.75" customHeight="1" x14ac:dyDescent="0.25">
      <c r="J204" s="23"/>
      <c r="K204" s="23"/>
      <c r="L204" s="23"/>
      <c r="M204" s="23"/>
      <c r="R204" s="23"/>
      <c r="S204" s="23"/>
      <c r="T204" s="23"/>
    </row>
    <row r="205" spans="10:20" ht="15.75" customHeight="1" x14ac:dyDescent="0.25">
      <c r="J205" s="23"/>
      <c r="K205" s="23"/>
      <c r="L205" s="23"/>
      <c r="M205" s="23"/>
      <c r="R205" s="23"/>
      <c r="S205" s="23"/>
      <c r="T205" s="23"/>
    </row>
    <row r="206" spans="10:20" ht="15.75" customHeight="1" x14ac:dyDescent="0.25">
      <c r="J206" s="23"/>
      <c r="K206" s="23"/>
      <c r="L206" s="23"/>
      <c r="M206" s="23"/>
      <c r="R206" s="23"/>
      <c r="S206" s="23"/>
      <c r="T206" s="23"/>
    </row>
    <row r="207" spans="10:20" ht="15.75" customHeight="1" x14ac:dyDescent="0.25">
      <c r="J207" s="23"/>
      <c r="K207" s="23"/>
      <c r="L207" s="23"/>
      <c r="M207" s="23"/>
      <c r="R207" s="23"/>
      <c r="S207" s="23"/>
      <c r="T207" s="23"/>
    </row>
    <row r="208" spans="10:20" ht="15.75" customHeight="1" x14ac:dyDescent="0.25">
      <c r="J208" s="23"/>
      <c r="K208" s="23"/>
      <c r="L208" s="23"/>
      <c r="M208" s="23"/>
      <c r="R208" s="23"/>
      <c r="S208" s="23"/>
      <c r="T208" s="23"/>
    </row>
    <row r="209" spans="10:20" ht="15.75" customHeight="1" x14ac:dyDescent="0.25">
      <c r="J209" s="23"/>
      <c r="K209" s="23"/>
      <c r="L209" s="23"/>
      <c r="M209" s="23"/>
      <c r="R209" s="23"/>
      <c r="S209" s="23"/>
      <c r="T209" s="23"/>
    </row>
    <row r="210" spans="10:20" ht="15.75" customHeight="1" x14ac:dyDescent="0.25">
      <c r="J210" s="23"/>
      <c r="K210" s="23"/>
      <c r="L210" s="23"/>
      <c r="M210" s="23"/>
      <c r="R210" s="23"/>
      <c r="S210" s="23"/>
      <c r="T210" s="23"/>
    </row>
    <row r="211" spans="10:20" ht="15.75" customHeight="1" x14ac:dyDescent="0.25">
      <c r="J211" s="23"/>
      <c r="K211" s="23"/>
      <c r="L211" s="23"/>
      <c r="M211" s="23"/>
      <c r="R211" s="23"/>
      <c r="S211" s="23"/>
      <c r="T211" s="23"/>
    </row>
    <row r="212" spans="10:20" ht="15.75" customHeight="1" x14ac:dyDescent="0.25">
      <c r="J212" s="23"/>
      <c r="K212" s="23"/>
      <c r="L212" s="23"/>
      <c r="M212" s="23"/>
      <c r="R212" s="23"/>
      <c r="S212" s="23"/>
      <c r="T212" s="23"/>
    </row>
    <row r="213" spans="10:20" ht="15.75" customHeight="1" x14ac:dyDescent="0.25">
      <c r="J213" s="23"/>
      <c r="K213" s="23"/>
      <c r="L213" s="23"/>
      <c r="M213" s="23"/>
      <c r="R213" s="23"/>
      <c r="S213" s="23"/>
      <c r="T213" s="23"/>
    </row>
    <row r="214" spans="10:20" ht="15.75" customHeight="1" x14ac:dyDescent="0.25">
      <c r="J214" s="23"/>
      <c r="K214" s="23"/>
      <c r="L214" s="23"/>
      <c r="M214" s="23"/>
      <c r="R214" s="23"/>
      <c r="S214" s="23"/>
      <c r="T214" s="23"/>
    </row>
    <row r="215" spans="10:20" ht="15.75" customHeight="1" x14ac:dyDescent="0.25">
      <c r="J215" s="23"/>
      <c r="K215" s="23"/>
      <c r="L215" s="23"/>
      <c r="M215" s="23"/>
      <c r="R215" s="23"/>
      <c r="S215" s="23"/>
      <c r="T215" s="23"/>
    </row>
    <row r="216" spans="10:20" ht="15.75" customHeight="1" x14ac:dyDescent="0.25">
      <c r="J216" s="23"/>
      <c r="K216" s="23"/>
      <c r="L216" s="23"/>
      <c r="M216" s="23"/>
      <c r="R216" s="23"/>
      <c r="S216" s="23"/>
      <c r="T216" s="23"/>
    </row>
    <row r="217" spans="10:20" ht="15.75" customHeight="1" x14ac:dyDescent="0.25">
      <c r="J217" s="23"/>
      <c r="K217" s="23"/>
      <c r="L217" s="23"/>
      <c r="M217" s="23"/>
      <c r="R217" s="23"/>
      <c r="S217" s="23"/>
      <c r="T217" s="23"/>
    </row>
    <row r="218" spans="10:20" ht="15.75" customHeight="1" x14ac:dyDescent="0.25">
      <c r="J218" s="23"/>
      <c r="K218" s="23"/>
      <c r="L218" s="23"/>
      <c r="M218" s="23"/>
      <c r="R218" s="23"/>
      <c r="S218" s="23"/>
      <c r="T218" s="23"/>
    </row>
    <row r="219" spans="10:20" ht="15.75" customHeight="1" x14ac:dyDescent="0.25">
      <c r="J219" s="23"/>
      <c r="K219" s="23"/>
      <c r="L219" s="23"/>
      <c r="M219" s="23"/>
      <c r="R219" s="23"/>
      <c r="S219" s="23"/>
      <c r="T219" s="23"/>
    </row>
    <row r="220" spans="10:20" ht="15.75" customHeight="1" x14ac:dyDescent="0.25">
      <c r="J220" s="23"/>
      <c r="K220" s="23"/>
      <c r="L220" s="23"/>
      <c r="M220" s="23"/>
      <c r="R220" s="23"/>
      <c r="S220" s="23"/>
      <c r="T220" s="23"/>
    </row>
    <row r="221" spans="10:20" ht="15.75" customHeight="1" x14ac:dyDescent="0.25">
      <c r="J221" s="23"/>
      <c r="K221" s="23"/>
      <c r="L221" s="23"/>
      <c r="M221" s="23"/>
      <c r="R221" s="23"/>
      <c r="S221" s="23"/>
      <c r="T221" s="23"/>
    </row>
    <row r="222" spans="10:20" ht="15.75" customHeight="1" x14ac:dyDescent="0.25">
      <c r="J222" s="23"/>
      <c r="K222" s="23"/>
      <c r="L222" s="23"/>
      <c r="M222" s="23"/>
      <c r="R222" s="23"/>
      <c r="S222" s="23"/>
      <c r="T222" s="23"/>
    </row>
    <row r="223" spans="10:20" ht="15.75" customHeight="1" x14ac:dyDescent="0.25">
      <c r="J223" s="23"/>
      <c r="K223" s="23"/>
      <c r="L223" s="23"/>
      <c r="M223" s="23"/>
      <c r="R223" s="23"/>
      <c r="S223" s="23"/>
      <c r="T223" s="23"/>
    </row>
    <row r="224" spans="10:20" ht="15.75" customHeight="1" x14ac:dyDescent="0.25">
      <c r="J224" s="23"/>
      <c r="K224" s="23"/>
      <c r="L224" s="23"/>
      <c r="M224" s="23"/>
      <c r="R224" s="23"/>
      <c r="S224" s="23"/>
      <c r="T224" s="23"/>
    </row>
    <row r="225" spans="10:20" ht="15.75" customHeight="1" x14ac:dyDescent="0.25">
      <c r="J225" s="23"/>
      <c r="K225" s="23"/>
      <c r="L225" s="23"/>
      <c r="M225" s="23"/>
      <c r="R225" s="23"/>
      <c r="S225" s="23"/>
      <c r="T225" s="23"/>
    </row>
    <row r="226" spans="10:20" ht="15.75" customHeight="1" x14ac:dyDescent="0.25">
      <c r="J226" s="23"/>
      <c r="K226" s="23"/>
      <c r="L226" s="23"/>
      <c r="M226" s="23"/>
      <c r="R226" s="23"/>
      <c r="S226" s="23"/>
      <c r="T226" s="23"/>
    </row>
    <row r="227" spans="10:20" ht="15.75" customHeight="1" x14ac:dyDescent="0.25">
      <c r="J227" s="23"/>
      <c r="K227" s="23"/>
      <c r="L227" s="23"/>
      <c r="M227" s="23"/>
      <c r="R227" s="23"/>
      <c r="S227" s="23"/>
      <c r="T227" s="23"/>
    </row>
    <row r="228" spans="10:20" ht="15.75" customHeight="1" x14ac:dyDescent="0.25">
      <c r="J228" s="23"/>
      <c r="K228" s="23"/>
      <c r="L228" s="23"/>
      <c r="M228" s="23"/>
      <c r="R228" s="23"/>
      <c r="S228" s="23"/>
      <c r="T228" s="23"/>
    </row>
    <row r="229" spans="10:20" ht="15.75" customHeight="1" x14ac:dyDescent="0.25">
      <c r="J229" s="23"/>
      <c r="K229" s="23"/>
      <c r="L229" s="23"/>
      <c r="M229" s="23"/>
      <c r="R229" s="23"/>
      <c r="S229" s="23"/>
      <c r="T229" s="23"/>
    </row>
    <row r="230" spans="10:20" ht="15.75" customHeight="1" x14ac:dyDescent="0.25">
      <c r="J230" s="23"/>
      <c r="K230" s="23"/>
      <c r="L230" s="23"/>
      <c r="M230" s="23"/>
      <c r="R230" s="23"/>
      <c r="S230" s="23"/>
      <c r="T230" s="23"/>
    </row>
    <row r="231" spans="10:20" ht="15.75" customHeight="1" x14ac:dyDescent="0.25">
      <c r="J231" s="23"/>
      <c r="K231" s="23"/>
      <c r="L231" s="23"/>
      <c r="M231" s="23"/>
      <c r="R231" s="23"/>
      <c r="S231" s="23"/>
      <c r="T231" s="23"/>
    </row>
    <row r="232" spans="10:20" ht="15.75" customHeight="1" x14ac:dyDescent="0.25">
      <c r="J232" s="23"/>
      <c r="K232" s="23"/>
      <c r="L232" s="23"/>
      <c r="M232" s="23"/>
      <c r="R232" s="23"/>
      <c r="S232" s="23"/>
      <c r="T232" s="23"/>
    </row>
    <row r="233" spans="10:20" ht="15.75" customHeight="1" x14ac:dyDescent="0.25">
      <c r="J233" s="23"/>
      <c r="K233" s="23"/>
      <c r="L233" s="23"/>
      <c r="M233" s="23"/>
      <c r="R233" s="23"/>
      <c r="S233" s="23"/>
      <c r="T233" s="23"/>
    </row>
    <row r="234" spans="10:20" ht="15.75" customHeight="1" x14ac:dyDescent="0.25">
      <c r="J234" s="23"/>
      <c r="K234" s="23"/>
      <c r="L234" s="23"/>
      <c r="M234" s="23"/>
      <c r="R234" s="23"/>
      <c r="S234" s="23"/>
      <c r="T234" s="23"/>
    </row>
    <row r="235" spans="10:20" ht="15.75" customHeight="1" x14ac:dyDescent="0.25">
      <c r="J235" s="23"/>
      <c r="K235" s="23"/>
      <c r="L235" s="23"/>
      <c r="M235" s="23"/>
      <c r="R235" s="23"/>
      <c r="S235" s="23"/>
      <c r="T235" s="23"/>
    </row>
    <row r="236" spans="10:20" ht="15.75" customHeight="1" x14ac:dyDescent="0.25">
      <c r="J236" s="23"/>
      <c r="K236" s="23"/>
      <c r="L236" s="23"/>
      <c r="M236" s="23"/>
      <c r="R236" s="23"/>
      <c r="S236" s="23"/>
      <c r="T236" s="23"/>
    </row>
    <row r="237" spans="10:20" ht="15.75" customHeight="1" x14ac:dyDescent="0.25">
      <c r="J237" s="23"/>
      <c r="K237" s="23"/>
      <c r="L237" s="23"/>
      <c r="M237" s="23"/>
      <c r="R237" s="23"/>
      <c r="S237" s="23"/>
      <c r="T237" s="23"/>
    </row>
    <row r="238" spans="10:20" ht="15.75" customHeight="1" x14ac:dyDescent="0.25">
      <c r="J238" s="23"/>
      <c r="K238" s="23"/>
      <c r="L238" s="23"/>
      <c r="M238" s="23"/>
      <c r="R238" s="23"/>
      <c r="S238" s="23"/>
      <c r="T238" s="23"/>
    </row>
    <row r="239" spans="10:20" ht="15.75" customHeight="1" x14ac:dyDescent="0.25">
      <c r="J239" s="23"/>
      <c r="K239" s="23"/>
      <c r="L239" s="23"/>
      <c r="M239" s="23"/>
      <c r="R239" s="23"/>
      <c r="S239" s="23"/>
      <c r="T239" s="23"/>
    </row>
    <row r="240" spans="10:20" ht="15.75" customHeight="1" x14ac:dyDescent="0.25">
      <c r="J240" s="23"/>
      <c r="K240" s="23"/>
      <c r="L240" s="23"/>
      <c r="M240" s="23"/>
      <c r="R240" s="23"/>
      <c r="S240" s="23"/>
      <c r="T240" s="23"/>
    </row>
    <row r="241" spans="10:20" ht="15.75" customHeight="1" x14ac:dyDescent="0.25">
      <c r="J241" s="23"/>
      <c r="K241" s="23"/>
      <c r="L241" s="23"/>
      <c r="M241" s="23"/>
      <c r="R241" s="23"/>
      <c r="S241" s="23"/>
      <c r="T241" s="23"/>
    </row>
    <row r="242" spans="10:20" ht="15.75" customHeight="1" x14ac:dyDescent="0.25">
      <c r="J242" s="23"/>
      <c r="K242" s="23"/>
      <c r="L242" s="23"/>
      <c r="M242" s="23"/>
      <c r="R242" s="23"/>
      <c r="S242" s="23"/>
      <c r="T242" s="23"/>
    </row>
    <row r="243" spans="10:20" ht="15.75" customHeight="1" x14ac:dyDescent="0.25">
      <c r="J243" s="23"/>
      <c r="K243" s="23"/>
      <c r="L243" s="23"/>
      <c r="M243" s="23"/>
      <c r="R243" s="23"/>
      <c r="S243" s="23"/>
      <c r="T243" s="23"/>
    </row>
    <row r="244" spans="10:20" ht="15.75" customHeight="1" x14ac:dyDescent="0.25">
      <c r="J244" s="23"/>
      <c r="K244" s="23"/>
      <c r="L244" s="23"/>
      <c r="M244" s="23"/>
      <c r="R244" s="23"/>
      <c r="S244" s="23"/>
      <c r="T244" s="23"/>
    </row>
    <row r="245" spans="10:20" ht="15.75" customHeight="1" x14ac:dyDescent="0.25">
      <c r="J245" s="23"/>
      <c r="K245" s="23"/>
      <c r="L245" s="23"/>
      <c r="M245" s="23"/>
      <c r="R245" s="23"/>
      <c r="S245" s="23"/>
      <c r="T245" s="23"/>
    </row>
    <row r="246" spans="10:20" ht="15.75" customHeight="1" x14ac:dyDescent="0.25">
      <c r="J246" s="23"/>
      <c r="K246" s="23"/>
      <c r="L246" s="23"/>
      <c r="M246" s="23"/>
      <c r="R246" s="23"/>
      <c r="S246" s="23"/>
      <c r="T246" s="23"/>
    </row>
    <row r="247" spans="10:20" ht="15.75" customHeight="1" x14ac:dyDescent="0.25">
      <c r="J247" s="23"/>
      <c r="K247" s="23"/>
      <c r="L247" s="23"/>
      <c r="M247" s="23"/>
      <c r="R247" s="23"/>
      <c r="S247" s="23"/>
      <c r="T247" s="23"/>
    </row>
    <row r="248" spans="10:20" ht="15.75" customHeight="1" x14ac:dyDescent="0.25">
      <c r="J248" s="23"/>
      <c r="K248" s="23"/>
      <c r="L248" s="23"/>
      <c r="M248" s="23"/>
      <c r="R248" s="23"/>
      <c r="S248" s="23"/>
      <c r="T248" s="23"/>
    </row>
    <row r="249" spans="10:20" ht="15.75" customHeight="1" x14ac:dyDescent="0.25">
      <c r="J249" s="23"/>
      <c r="K249" s="23"/>
      <c r="L249" s="23"/>
      <c r="M249" s="23"/>
      <c r="R249" s="23"/>
      <c r="S249" s="23"/>
      <c r="T249" s="23"/>
    </row>
    <row r="250" spans="10:20" ht="15.75" customHeight="1" x14ac:dyDescent="0.25">
      <c r="J250" s="23"/>
      <c r="K250" s="23"/>
      <c r="L250" s="23"/>
      <c r="M250" s="23"/>
      <c r="R250" s="23"/>
      <c r="S250" s="23"/>
      <c r="T250" s="23"/>
    </row>
    <row r="251" spans="10:20" ht="15.75" customHeight="1" x14ac:dyDescent="0.25">
      <c r="J251" s="23"/>
      <c r="K251" s="23"/>
      <c r="L251" s="23"/>
      <c r="M251" s="23"/>
      <c r="R251" s="23"/>
      <c r="S251" s="23"/>
      <c r="T251" s="23"/>
    </row>
    <row r="252" spans="10:20" ht="15.75" customHeight="1" x14ac:dyDescent="0.25">
      <c r="J252" s="23"/>
      <c r="K252" s="23"/>
      <c r="L252" s="23"/>
      <c r="M252" s="23"/>
      <c r="R252" s="23"/>
      <c r="S252" s="23"/>
      <c r="T252" s="23"/>
    </row>
    <row r="253" spans="10:20" ht="15.75" customHeight="1" x14ac:dyDescent="0.25">
      <c r="J253" s="23"/>
      <c r="K253" s="23"/>
      <c r="L253" s="23"/>
      <c r="M253" s="23"/>
      <c r="R253" s="23"/>
      <c r="S253" s="23"/>
      <c r="T253" s="23"/>
    </row>
    <row r="254" spans="10:20" ht="15.75" customHeight="1" x14ac:dyDescent="0.25">
      <c r="J254" s="23"/>
      <c r="K254" s="23"/>
      <c r="L254" s="23"/>
      <c r="M254" s="23"/>
      <c r="R254" s="23"/>
      <c r="S254" s="23"/>
      <c r="T254" s="23"/>
    </row>
    <row r="255" spans="10:20" ht="15.75" customHeight="1" x14ac:dyDescent="0.25">
      <c r="J255" s="23"/>
      <c r="K255" s="23"/>
      <c r="L255" s="23"/>
      <c r="M255" s="23"/>
      <c r="R255" s="23"/>
      <c r="S255" s="23"/>
      <c r="T255" s="23"/>
    </row>
    <row r="256" spans="10:20" ht="15.75" customHeight="1" x14ac:dyDescent="0.25">
      <c r="J256" s="23"/>
      <c r="K256" s="23"/>
      <c r="L256" s="23"/>
      <c r="M256" s="23"/>
      <c r="R256" s="23"/>
      <c r="S256" s="23"/>
      <c r="T256" s="23"/>
    </row>
    <row r="257" spans="10:20" ht="15.75" customHeight="1" x14ac:dyDescent="0.25">
      <c r="J257" s="23"/>
      <c r="K257" s="23"/>
      <c r="L257" s="23"/>
      <c r="M257" s="23"/>
      <c r="R257" s="23"/>
      <c r="S257" s="23"/>
      <c r="T257" s="23"/>
    </row>
    <row r="258" spans="10:20" ht="15.75" customHeight="1" x14ac:dyDescent="0.25">
      <c r="J258" s="23"/>
      <c r="K258" s="23"/>
      <c r="L258" s="23"/>
      <c r="M258" s="23"/>
      <c r="R258" s="23"/>
      <c r="S258" s="23"/>
      <c r="T258" s="23"/>
    </row>
    <row r="259" spans="10:20" ht="15.75" customHeight="1" x14ac:dyDescent="0.25">
      <c r="J259" s="23"/>
      <c r="K259" s="23"/>
      <c r="L259" s="23"/>
      <c r="M259" s="23"/>
      <c r="R259" s="23"/>
      <c r="S259" s="23"/>
      <c r="T259" s="23"/>
    </row>
    <row r="260" spans="10:20" ht="15.75" customHeight="1" x14ac:dyDescent="0.25">
      <c r="J260" s="23"/>
      <c r="K260" s="23"/>
      <c r="L260" s="23"/>
      <c r="M260" s="23"/>
      <c r="R260" s="23"/>
      <c r="S260" s="23"/>
      <c r="T260" s="23"/>
    </row>
    <row r="261" spans="10:20" ht="15.75" customHeight="1" x14ac:dyDescent="0.25">
      <c r="J261" s="23"/>
      <c r="K261" s="23"/>
      <c r="L261" s="23"/>
      <c r="M261" s="23"/>
      <c r="R261" s="23"/>
      <c r="S261" s="23"/>
      <c r="T261" s="23"/>
    </row>
    <row r="262" spans="10:20" ht="15.75" customHeight="1" x14ac:dyDescent="0.25">
      <c r="J262" s="23"/>
      <c r="K262" s="23"/>
      <c r="L262" s="23"/>
      <c r="M262" s="23"/>
      <c r="R262" s="23"/>
      <c r="S262" s="23"/>
      <c r="T262" s="23"/>
    </row>
    <row r="263" spans="10:20" ht="15.75" customHeight="1" x14ac:dyDescent="0.25">
      <c r="J263" s="23"/>
      <c r="K263" s="23"/>
      <c r="L263" s="23"/>
      <c r="M263" s="23"/>
      <c r="R263" s="23"/>
      <c r="S263" s="23"/>
      <c r="T263" s="23"/>
    </row>
    <row r="264" spans="10:20" ht="15.75" customHeight="1" x14ac:dyDescent="0.25">
      <c r="J264" s="23"/>
      <c r="K264" s="23"/>
      <c r="L264" s="23"/>
      <c r="M264" s="23"/>
      <c r="R264" s="23"/>
      <c r="S264" s="23"/>
      <c r="T264" s="23"/>
    </row>
    <row r="265" spans="10:20" ht="15.75" customHeight="1" x14ac:dyDescent="0.25">
      <c r="J265" s="23"/>
      <c r="K265" s="23"/>
      <c r="L265" s="23"/>
      <c r="M265" s="23"/>
      <c r="R265" s="23"/>
      <c r="S265" s="23"/>
      <c r="T265" s="23"/>
    </row>
    <row r="266" spans="10:20" ht="15.75" customHeight="1" x14ac:dyDescent="0.25">
      <c r="J266" s="23"/>
      <c r="K266" s="23"/>
      <c r="L266" s="23"/>
      <c r="M266" s="23"/>
      <c r="R266" s="23"/>
      <c r="S266" s="23"/>
      <c r="T266" s="23"/>
    </row>
    <row r="267" spans="10:20" ht="15.75" customHeight="1" x14ac:dyDescent="0.25">
      <c r="J267" s="23"/>
      <c r="K267" s="23"/>
      <c r="L267" s="23"/>
      <c r="M267" s="23"/>
      <c r="R267" s="23"/>
      <c r="S267" s="23"/>
      <c r="T267" s="23"/>
    </row>
    <row r="268" spans="10:20" ht="15.75" customHeight="1" x14ac:dyDescent="0.25">
      <c r="J268" s="23"/>
      <c r="K268" s="23"/>
      <c r="L268" s="23"/>
      <c r="M268" s="23"/>
      <c r="R268" s="23"/>
      <c r="S268" s="23"/>
      <c r="T268" s="23"/>
    </row>
    <row r="269" spans="10:20" ht="15.75" customHeight="1" x14ac:dyDescent="0.25">
      <c r="J269" s="23"/>
      <c r="K269" s="23"/>
      <c r="L269" s="23"/>
      <c r="M269" s="23"/>
      <c r="R269" s="23"/>
      <c r="S269" s="23"/>
      <c r="T269" s="23"/>
    </row>
    <row r="270" spans="10:20" ht="15.75" customHeight="1" x14ac:dyDescent="0.25">
      <c r="J270" s="23"/>
      <c r="K270" s="23"/>
      <c r="L270" s="23"/>
      <c r="M270" s="23"/>
      <c r="R270" s="23"/>
      <c r="S270" s="23"/>
      <c r="T270" s="23"/>
    </row>
    <row r="271" spans="10:20" ht="15.75" customHeight="1" x14ac:dyDescent="0.25">
      <c r="J271" s="23"/>
      <c r="K271" s="23"/>
      <c r="L271" s="23"/>
      <c r="M271" s="23"/>
      <c r="R271" s="23"/>
      <c r="S271" s="23"/>
      <c r="T271" s="23"/>
    </row>
    <row r="272" spans="10:20" ht="15.75" customHeight="1" x14ac:dyDescent="0.25">
      <c r="J272" s="23"/>
      <c r="K272" s="23"/>
      <c r="L272" s="23"/>
      <c r="M272" s="23"/>
      <c r="R272" s="23"/>
      <c r="S272" s="23"/>
      <c r="T272" s="23"/>
    </row>
    <row r="273" spans="10:20" ht="15.75" customHeight="1" x14ac:dyDescent="0.25">
      <c r="J273" s="23"/>
      <c r="K273" s="23"/>
      <c r="L273" s="23"/>
      <c r="M273" s="23"/>
      <c r="R273" s="23"/>
      <c r="S273" s="23"/>
      <c r="T273" s="23"/>
    </row>
    <row r="274" spans="10:20" ht="15.75" customHeight="1" x14ac:dyDescent="0.25">
      <c r="J274" s="23"/>
      <c r="K274" s="23"/>
      <c r="L274" s="23"/>
      <c r="M274" s="23"/>
      <c r="R274" s="23"/>
      <c r="S274" s="23"/>
      <c r="T274" s="23"/>
    </row>
    <row r="275" spans="10:20" ht="15.75" customHeight="1" x14ac:dyDescent="0.25">
      <c r="J275" s="23"/>
      <c r="K275" s="23"/>
      <c r="L275" s="23"/>
      <c r="M275" s="23"/>
      <c r="R275" s="23"/>
      <c r="S275" s="23"/>
      <c r="T275" s="23"/>
    </row>
    <row r="276" spans="10:20" ht="15.75" customHeight="1" x14ac:dyDescent="0.25">
      <c r="J276" s="23"/>
      <c r="K276" s="23"/>
      <c r="L276" s="23"/>
      <c r="M276" s="23"/>
      <c r="R276" s="23"/>
      <c r="S276" s="23"/>
      <c r="T276" s="23"/>
    </row>
    <row r="277" spans="10:20" ht="15.75" customHeight="1" x14ac:dyDescent="0.25">
      <c r="J277" s="23"/>
      <c r="K277" s="23"/>
      <c r="L277" s="23"/>
      <c r="M277" s="23"/>
      <c r="R277" s="23"/>
      <c r="S277" s="23"/>
      <c r="T277" s="23"/>
    </row>
    <row r="278" spans="10:20" ht="15.75" customHeight="1" x14ac:dyDescent="0.25">
      <c r="J278" s="23"/>
      <c r="K278" s="23"/>
      <c r="L278" s="23"/>
      <c r="M278" s="23"/>
      <c r="R278" s="23"/>
      <c r="S278" s="23"/>
      <c r="T278" s="23"/>
    </row>
    <row r="279" spans="10:20" ht="15.75" customHeight="1" x14ac:dyDescent="0.25">
      <c r="J279" s="23"/>
      <c r="K279" s="23"/>
      <c r="L279" s="23"/>
      <c r="M279" s="23"/>
      <c r="R279" s="23"/>
      <c r="S279" s="23"/>
      <c r="T279" s="23"/>
    </row>
    <row r="280" spans="10:20" ht="15.75" customHeight="1" x14ac:dyDescent="0.25">
      <c r="J280" s="23"/>
      <c r="K280" s="23"/>
      <c r="L280" s="23"/>
      <c r="M280" s="23"/>
      <c r="R280" s="23"/>
      <c r="S280" s="23"/>
      <c r="T280" s="23"/>
    </row>
    <row r="281" spans="10:20" ht="15.75" customHeight="1" x14ac:dyDescent="0.25">
      <c r="J281" s="23"/>
      <c r="K281" s="23"/>
      <c r="L281" s="23"/>
      <c r="M281" s="23"/>
      <c r="R281" s="23"/>
      <c r="S281" s="23"/>
      <c r="T281" s="23"/>
    </row>
    <row r="282" spans="10:20" ht="15.75" customHeight="1" x14ac:dyDescent="0.25">
      <c r="J282" s="23"/>
      <c r="K282" s="23"/>
      <c r="L282" s="23"/>
      <c r="M282" s="23"/>
      <c r="R282" s="23"/>
      <c r="S282" s="23"/>
      <c r="T282" s="23"/>
    </row>
    <row r="283" spans="10:20" ht="15.75" customHeight="1" x14ac:dyDescent="0.25">
      <c r="J283" s="23"/>
      <c r="K283" s="23"/>
      <c r="L283" s="23"/>
      <c r="M283" s="23"/>
      <c r="R283" s="23"/>
      <c r="S283" s="23"/>
      <c r="T283" s="23"/>
    </row>
    <row r="284" spans="10:20" ht="15.75" customHeight="1" x14ac:dyDescent="0.25">
      <c r="J284" s="23"/>
      <c r="K284" s="23"/>
      <c r="L284" s="23"/>
      <c r="M284" s="23"/>
      <c r="R284" s="23"/>
      <c r="S284" s="23"/>
      <c r="T284" s="23"/>
    </row>
    <row r="285" spans="10:20" ht="15.75" customHeight="1" x14ac:dyDescent="0.25">
      <c r="J285" s="23"/>
      <c r="K285" s="23"/>
      <c r="L285" s="23"/>
      <c r="M285" s="23"/>
      <c r="R285" s="23"/>
      <c r="S285" s="23"/>
      <c r="T285" s="23"/>
    </row>
    <row r="286" spans="10:20" ht="15.75" customHeight="1" x14ac:dyDescent="0.25">
      <c r="J286" s="23"/>
      <c r="K286" s="23"/>
      <c r="L286" s="23"/>
      <c r="M286" s="23"/>
      <c r="R286" s="23"/>
      <c r="S286" s="23"/>
      <c r="T286" s="23"/>
    </row>
    <row r="287" spans="10:20" ht="15.75" customHeight="1" x14ac:dyDescent="0.25">
      <c r="J287" s="23"/>
      <c r="K287" s="23"/>
      <c r="L287" s="23"/>
      <c r="M287" s="23"/>
      <c r="R287" s="23"/>
      <c r="S287" s="23"/>
      <c r="T287" s="23"/>
    </row>
    <row r="288" spans="10:20" ht="15.75" customHeight="1" x14ac:dyDescent="0.25">
      <c r="J288" s="23"/>
      <c r="K288" s="23"/>
      <c r="L288" s="23"/>
      <c r="M288" s="23"/>
      <c r="R288" s="23"/>
      <c r="S288" s="23"/>
      <c r="T288" s="23"/>
    </row>
    <row r="289" spans="10:20" ht="15.75" customHeight="1" x14ac:dyDescent="0.25">
      <c r="J289" s="23"/>
      <c r="K289" s="23"/>
      <c r="L289" s="23"/>
      <c r="M289" s="23"/>
      <c r="R289" s="23"/>
      <c r="S289" s="23"/>
      <c r="T289" s="23"/>
    </row>
    <row r="290" spans="10:20" ht="15.75" customHeight="1" x14ac:dyDescent="0.25">
      <c r="J290" s="23"/>
      <c r="K290" s="23"/>
      <c r="L290" s="23"/>
      <c r="M290" s="23"/>
      <c r="R290" s="23"/>
      <c r="S290" s="23"/>
      <c r="T290" s="23"/>
    </row>
    <row r="291" spans="10:20" ht="15.75" customHeight="1" x14ac:dyDescent="0.25">
      <c r="J291" s="23"/>
      <c r="K291" s="23"/>
      <c r="L291" s="23"/>
      <c r="M291" s="23"/>
      <c r="R291" s="23"/>
      <c r="S291" s="23"/>
      <c r="T291" s="23"/>
    </row>
    <row r="292" spans="10:20" ht="15.75" customHeight="1" x14ac:dyDescent="0.25">
      <c r="J292" s="23"/>
      <c r="K292" s="23"/>
      <c r="L292" s="23"/>
      <c r="M292" s="23"/>
      <c r="R292" s="23"/>
      <c r="S292" s="23"/>
      <c r="T292" s="23"/>
    </row>
    <row r="293" spans="10:20" ht="15.75" customHeight="1" x14ac:dyDescent="0.25">
      <c r="J293" s="23"/>
      <c r="K293" s="23"/>
      <c r="L293" s="23"/>
      <c r="M293" s="23"/>
      <c r="R293" s="23"/>
      <c r="S293" s="23"/>
      <c r="T293" s="23"/>
    </row>
    <row r="294" spans="10:20" ht="15.75" customHeight="1" x14ac:dyDescent="0.25">
      <c r="J294" s="23"/>
      <c r="K294" s="23"/>
      <c r="L294" s="23"/>
      <c r="M294" s="23"/>
      <c r="R294" s="23"/>
      <c r="S294" s="23"/>
      <c r="T294" s="23"/>
    </row>
    <row r="295" spans="10:20" ht="15.75" customHeight="1" x14ac:dyDescent="0.25">
      <c r="J295" s="23"/>
      <c r="K295" s="23"/>
      <c r="L295" s="23"/>
      <c r="M295" s="23"/>
      <c r="R295" s="23"/>
      <c r="S295" s="23"/>
      <c r="T295" s="23"/>
    </row>
    <row r="296" spans="10:20" ht="15.75" customHeight="1" x14ac:dyDescent="0.25">
      <c r="J296" s="23"/>
      <c r="K296" s="23"/>
      <c r="L296" s="23"/>
      <c r="M296" s="23"/>
      <c r="R296" s="23"/>
      <c r="S296" s="23"/>
      <c r="T296" s="23"/>
    </row>
    <row r="297" spans="10:20" ht="15.75" customHeight="1" x14ac:dyDescent="0.25">
      <c r="J297" s="23"/>
      <c r="K297" s="23"/>
      <c r="L297" s="23"/>
      <c r="M297" s="23"/>
      <c r="R297" s="23"/>
      <c r="S297" s="23"/>
      <c r="T297" s="23"/>
    </row>
    <row r="298" spans="10:20" ht="15.75" customHeight="1" x14ac:dyDescent="0.25">
      <c r="J298" s="23"/>
      <c r="K298" s="23"/>
      <c r="L298" s="23"/>
      <c r="M298" s="23"/>
      <c r="R298" s="23"/>
      <c r="S298" s="23"/>
      <c r="T298" s="23"/>
    </row>
    <row r="299" spans="10:20" ht="15.75" customHeight="1" x14ac:dyDescent="0.25">
      <c r="J299" s="23"/>
      <c r="K299" s="23"/>
      <c r="L299" s="23"/>
      <c r="M299" s="23"/>
      <c r="R299" s="23"/>
      <c r="S299" s="23"/>
      <c r="T299" s="23"/>
    </row>
    <row r="300" spans="10:20" ht="15.75" customHeight="1" x14ac:dyDescent="0.25">
      <c r="J300" s="23"/>
      <c r="K300" s="23"/>
      <c r="L300" s="23"/>
      <c r="M300" s="23"/>
      <c r="R300" s="23"/>
      <c r="S300" s="23"/>
      <c r="T300" s="23"/>
    </row>
    <row r="301" spans="10:20" ht="15.75" customHeight="1" x14ac:dyDescent="0.25">
      <c r="J301" s="23"/>
      <c r="K301" s="23"/>
      <c r="L301" s="23"/>
      <c r="M301" s="23"/>
      <c r="R301" s="23"/>
      <c r="S301" s="23"/>
      <c r="T301" s="23"/>
    </row>
    <row r="302" spans="10:20" ht="15.75" customHeight="1" x14ac:dyDescent="0.25">
      <c r="J302" s="23"/>
      <c r="K302" s="23"/>
      <c r="L302" s="23"/>
      <c r="M302" s="23"/>
      <c r="R302" s="23"/>
      <c r="S302" s="23"/>
      <c r="T302" s="23"/>
    </row>
    <row r="303" spans="10:20" ht="15.75" customHeight="1" x14ac:dyDescent="0.25">
      <c r="J303" s="23"/>
      <c r="K303" s="23"/>
      <c r="L303" s="23"/>
      <c r="M303" s="23"/>
      <c r="R303" s="23"/>
      <c r="S303" s="23"/>
      <c r="T303" s="23"/>
    </row>
    <row r="304" spans="10:20" ht="15.75" customHeight="1" x14ac:dyDescent="0.25">
      <c r="J304" s="23"/>
      <c r="K304" s="23"/>
      <c r="L304" s="23"/>
      <c r="M304" s="23"/>
      <c r="R304" s="23"/>
      <c r="S304" s="23"/>
      <c r="T304" s="23"/>
    </row>
    <row r="305" spans="10:20" ht="15.75" customHeight="1" x14ac:dyDescent="0.25">
      <c r="J305" s="23"/>
      <c r="K305" s="23"/>
      <c r="L305" s="23"/>
      <c r="M305" s="23"/>
      <c r="R305" s="23"/>
      <c r="S305" s="23"/>
      <c r="T305" s="23"/>
    </row>
    <row r="306" spans="10:20" ht="15.75" customHeight="1" x14ac:dyDescent="0.25">
      <c r="J306" s="23"/>
      <c r="K306" s="23"/>
      <c r="L306" s="23"/>
      <c r="M306" s="23"/>
      <c r="R306" s="23"/>
      <c r="S306" s="23"/>
      <c r="T306" s="23"/>
    </row>
    <row r="307" spans="10:20" ht="15.75" customHeight="1" x14ac:dyDescent="0.25">
      <c r="J307" s="23"/>
      <c r="K307" s="23"/>
      <c r="L307" s="23"/>
      <c r="M307" s="23"/>
      <c r="R307" s="23"/>
      <c r="S307" s="23"/>
      <c r="T307" s="23"/>
    </row>
    <row r="308" spans="10:20" ht="15.75" customHeight="1" x14ac:dyDescent="0.25">
      <c r="J308" s="23"/>
      <c r="K308" s="23"/>
      <c r="L308" s="23"/>
      <c r="M308" s="23"/>
      <c r="R308" s="23"/>
      <c r="S308" s="23"/>
      <c r="T308" s="23"/>
    </row>
    <row r="309" spans="10:20" ht="15.75" customHeight="1" x14ac:dyDescent="0.25">
      <c r="J309" s="23"/>
      <c r="K309" s="23"/>
      <c r="L309" s="23"/>
      <c r="M309" s="23"/>
      <c r="R309" s="23"/>
      <c r="S309" s="23"/>
      <c r="T309" s="23"/>
    </row>
    <row r="310" spans="10:20" ht="15.75" customHeight="1" x14ac:dyDescent="0.25">
      <c r="J310" s="23"/>
      <c r="K310" s="23"/>
      <c r="L310" s="23"/>
      <c r="M310" s="23"/>
      <c r="R310" s="23"/>
      <c r="S310" s="23"/>
      <c r="T310" s="23"/>
    </row>
    <row r="311" spans="10:20" ht="15.75" customHeight="1" x14ac:dyDescent="0.25">
      <c r="J311" s="23"/>
      <c r="K311" s="23"/>
      <c r="L311" s="23"/>
      <c r="M311" s="23"/>
      <c r="R311" s="23"/>
      <c r="S311" s="23"/>
      <c r="T311" s="23"/>
    </row>
    <row r="312" spans="10:20" ht="15.75" customHeight="1" x14ac:dyDescent="0.25">
      <c r="J312" s="23"/>
      <c r="K312" s="23"/>
      <c r="L312" s="23"/>
      <c r="M312" s="23"/>
      <c r="R312" s="23"/>
      <c r="S312" s="23"/>
      <c r="T312" s="23"/>
    </row>
    <row r="313" spans="10:20" ht="15.75" customHeight="1" x14ac:dyDescent="0.25">
      <c r="J313" s="23"/>
      <c r="K313" s="23"/>
      <c r="L313" s="23"/>
      <c r="M313" s="23"/>
      <c r="R313" s="23"/>
      <c r="S313" s="23"/>
      <c r="T313" s="23"/>
    </row>
    <row r="314" spans="10:20" ht="15.75" customHeight="1" x14ac:dyDescent="0.25">
      <c r="J314" s="23"/>
      <c r="K314" s="23"/>
      <c r="L314" s="23"/>
      <c r="M314" s="23"/>
      <c r="R314" s="23"/>
      <c r="S314" s="23"/>
      <c r="T314" s="23"/>
    </row>
    <row r="315" spans="10:20" ht="15.75" customHeight="1" x14ac:dyDescent="0.25">
      <c r="J315" s="23"/>
      <c r="K315" s="23"/>
      <c r="L315" s="23"/>
      <c r="M315" s="23"/>
      <c r="R315" s="23"/>
      <c r="S315" s="23"/>
      <c r="T315" s="23"/>
    </row>
    <row r="316" spans="10:20" ht="15.75" customHeight="1" x14ac:dyDescent="0.25">
      <c r="J316" s="23"/>
      <c r="K316" s="23"/>
      <c r="L316" s="23"/>
      <c r="M316" s="23"/>
      <c r="R316" s="23"/>
      <c r="S316" s="23"/>
      <c r="T316" s="23"/>
    </row>
    <row r="317" spans="10:20" ht="15.75" customHeight="1" x14ac:dyDescent="0.25">
      <c r="J317" s="23"/>
      <c r="K317" s="23"/>
      <c r="L317" s="23"/>
      <c r="M317" s="23"/>
      <c r="R317" s="23"/>
      <c r="S317" s="23"/>
      <c r="T317" s="23"/>
    </row>
    <row r="318" spans="10:20" ht="15.75" customHeight="1" x14ac:dyDescent="0.25">
      <c r="J318" s="23"/>
      <c r="K318" s="23"/>
      <c r="L318" s="23"/>
      <c r="M318" s="23"/>
      <c r="R318" s="23"/>
      <c r="S318" s="23"/>
      <c r="T318" s="23"/>
    </row>
    <row r="319" spans="10:20" ht="15.75" customHeight="1" x14ac:dyDescent="0.25">
      <c r="J319" s="23"/>
      <c r="K319" s="23"/>
      <c r="L319" s="23"/>
      <c r="M319" s="23"/>
      <c r="R319" s="23"/>
      <c r="S319" s="23"/>
      <c r="T319" s="23"/>
    </row>
    <row r="320" spans="10:20" ht="15.75" customHeight="1" x14ac:dyDescent="0.25">
      <c r="J320" s="23"/>
      <c r="K320" s="23"/>
      <c r="L320" s="23"/>
      <c r="M320" s="23"/>
      <c r="R320" s="23"/>
      <c r="S320" s="23"/>
      <c r="T320" s="23"/>
    </row>
    <row r="321" spans="10:20" ht="15.75" customHeight="1" x14ac:dyDescent="0.25">
      <c r="J321" s="23"/>
      <c r="K321" s="23"/>
      <c r="L321" s="23"/>
      <c r="M321" s="23"/>
      <c r="R321" s="23"/>
      <c r="S321" s="23"/>
      <c r="T321" s="23"/>
    </row>
    <row r="322" spans="10:20" ht="15.75" customHeight="1" x14ac:dyDescent="0.25">
      <c r="J322" s="23"/>
      <c r="K322" s="23"/>
      <c r="L322" s="23"/>
      <c r="M322" s="23"/>
      <c r="R322" s="23"/>
      <c r="S322" s="23"/>
      <c r="T322" s="23"/>
    </row>
    <row r="323" spans="10:20" ht="15.75" customHeight="1" x14ac:dyDescent="0.25">
      <c r="J323" s="23"/>
      <c r="K323" s="23"/>
      <c r="L323" s="23"/>
      <c r="M323" s="23"/>
      <c r="R323" s="23"/>
      <c r="S323" s="23"/>
      <c r="T323" s="23"/>
    </row>
    <row r="324" spans="10:20" ht="15.75" customHeight="1" x14ac:dyDescent="0.25">
      <c r="J324" s="23"/>
      <c r="K324" s="23"/>
      <c r="L324" s="23"/>
      <c r="M324" s="23"/>
      <c r="R324" s="23"/>
      <c r="S324" s="23"/>
      <c r="T324" s="23"/>
    </row>
    <row r="325" spans="10:20" ht="15.75" customHeight="1" x14ac:dyDescent="0.25">
      <c r="J325" s="23"/>
      <c r="K325" s="23"/>
      <c r="L325" s="23"/>
      <c r="M325" s="23"/>
      <c r="R325" s="23"/>
      <c r="S325" s="23"/>
      <c r="T325" s="23"/>
    </row>
    <row r="326" spans="10:20" ht="15.75" customHeight="1" x14ac:dyDescent="0.25">
      <c r="J326" s="23"/>
      <c r="K326" s="23"/>
      <c r="L326" s="23"/>
      <c r="M326" s="23"/>
      <c r="R326" s="23"/>
      <c r="S326" s="23"/>
      <c r="T326" s="23"/>
    </row>
    <row r="327" spans="10:20" ht="15.75" customHeight="1" x14ac:dyDescent="0.25">
      <c r="J327" s="23"/>
      <c r="K327" s="23"/>
      <c r="L327" s="23"/>
      <c r="M327" s="23"/>
      <c r="R327" s="23"/>
      <c r="S327" s="23"/>
      <c r="T327" s="23"/>
    </row>
    <row r="328" spans="10:20" ht="15.75" customHeight="1" x14ac:dyDescent="0.25">
      <c r="J328" s="23"/>
      <c r="K328" s="23"/>
      <c r="L328" s="23"/>
      <c r="M328" s="23"/>
      <c r="R328" s="23"/>
      <c r="S328" s="23"/>
      <c r="T328" s="23"/>
    </row>
    <row r="329" spans="10:20" ht="15.75" customHeight="1" x14ac:dyDescent="0.25">
      <c r="J329" s="23"/>
      <c r="K329" s="23"/>
      <c r="L329" s="23"/>
      <c r="M329" s="23"/>
      <c r="R329" s="23"/>
      <c r="S329" s="23"/>
      <c r="T329" s="23"/>
    </row>
    <row r="330" spans="10:20" ht="15.75" customHeight="1" x14ac:dyDescent="0.25">
      <c r="J330" s="23"/>
      <c r="K330" s="23"/>
      <c r="L330" s="23"/>
      <c r="M330" s="23"/>
      <c r="R330" s="23"/>
      <c r="S330" s="23"/>
      <c r="T330" s="23"/>
    </row>
    <row r="331" spans="10:20" ht="15.75" customHeight="1" x14ac:dyDescent="0.25">
      <c r="J331" s="23"/>
      <c r="K331" s="23"/>
      <c r="L331" s="23"/>
      <c r="M331" s="23"/>
      <c r="R331" s="23"/>
      <c r="S331" s="23"/>
      <c r="T331" s="23"/>
    </row>
    <row r="332" spans="10:20" ht="15.75" customHeight="1" x14ac:dyDescent="0.25">
      <c r="J332" s="23"/>
      <c r="K332" s="23"/>
      <c r="L332" s="23"/>
      <c r="M332" s="23"/>
      <c r="R332" s="23"/>
      <c r="S332" s="23"/>
      <c r="T332" s="23"/>
    </row>
    <row r="333" spans="10:20" ht="15.75" customHeight="1" x14ac:dyDescent="0.25">
      <c r="J333" s="23"/>
      <c r="K333" s="23"/>
      <c r="L333" s="23"/>
      <c r="M333" s="23"/>
      <c r="R333" s="23"/>
      <c r="S333" s="23"/>
      <c r="T333" s="23"/>
    </row>
    <row r="334" spans="10:20" ht="15.75" customHeight="1" x14ac:dyDescent="0.25">
      <c r="J334" s="23"/>
      <c r="K334" s="23"/>
      <c r="L334" s="23"/>
      <c r="M334" s="23"/>
      <c r="R334" s="23"/>
      <c r="S334" s="23"/>
      <c r="T334" s="23"/>
    </row>
    <row r="335" spans="10:20" ht="15.75" customHeight="1" x14ac:dyDescent="0.25">
      <c r="J335" s="23"/>
      <c r="K335" s="23"/>
      <c r="L335" s="23"/>
      <c r="M335" s="23"/>
      <c r="R335" s="23"/>
      <c r="S335" s="23"/>
      <c r="T335" s="23"/>
    </row>
    <row r="336" spans="10:20" ht="15.75" customHeight="1" x14ac:dyDescent="0.25">
      <c r="J336" s="23"/>
      <c r="K336" s="23"/>
      <c r="L336" s="23"/>
      <c r="M336" s="23"/>
      <c r="R336" s="23"/>
      <c r="S336" s="23"/>
      <c r="T336" s="23"/>
    </row>
    <row r="337" spans="10:20" ht="15.75" customHeight="1" x14ac:dyDescent="0.25">
      <c r="J337" s="23"/>
      <c r="K337" s="23"/>
      <c r="L337" s="23"/>
      <c r="M337" s="23"/>
      <c r="R337" s="23"/>
      <c r="S337" s="23"/>
      <c r="T337" s="23"/>
    </row>
    <row r="338" spans="10:20" ht="15.75" customHeight="1" x14ac:dyDescent="0.25">
      <c r="J338" s="23"/>
      <c r="K338" s="23"/>
      <c r="L338" s="23"/>
      <c r="M338" s="23"/>
      <c r="R338" s="23"/>
      <c r="S338" s="23"/>
      <c r="T338" s="23"/>
    </row>
    <row r="339" spans="10:20" ht="15.75" customHeight="1" x14ac:dyDescent="0.25">
      <c r="J339" s="23"/>
      <c r="K339" s="23"/>
      <c r="L339" s="23"/>
      <c r="M339" s="23"/>
      <c r="R339" s="23"/>
      <c r="S339" s="23"/>
      <c r="T339" s="23"/>
    </row>
    <row r="340" spans="10:20" ht="15.75" customHeight="1" x14ac:dyDescent="0.25">
      <c r="J340" s="23"/>
      <c r="K340" s="23"/>
      <c r="L340" s="23"/>
      <c r="M340" s="23"/>
      <c r="R340" s="23"/>
      <c r="S340" s="23"/>
      <c r="T340" s="23"/>
    </row>
    <row r="341" spans="10:20" ht="15.75" customHeight="1" x14ac:dyDescent="0.25">
      <c r="J341" s="23"/>
      <c r="K341" s="23"/>
      <c r="L341" s="23"/>
      <c r="M341" s="23"/>
      <c r="R341" s="23"/>
      <c r="S341" s="23"/>
      <c r="T341" s="23"/>
    </row>
    <row r="342" spans="10:20" ht="15.75" customHeight="1" x14ac:dyDescent="0.25">
      <c r="J342" s="23"/>
      <c r="K342" s="23"/>
      <c r="L342" s="23"/>
      <c r="M342" s="23"/>
      <c r="R342" s="23"/>
      <c r="S342" s="23"/>
      <c r="T342" s="23"/>
    </row>
    <row r="343" spans="10:20" ht="15.75" customHeight="1" x14ac:dyDescent="0.25">
      <c r="J343" s="23"/>
      <c r="K343" s="23"/>
      <c r="L343" s="23"/>
      <c r="M343" s="23"/>
      <c r="R343" s="23"/>
      <c r="S343" s="23"/>
      <c r="T343" s="23"/>
    </row>
    <row r="344" spans="10:20" ht="15.75" customHeight="1" x14ac:dyDescent="0.25">
      <c r="J344" s="23"/>
      <c r="K344" s="23"/>
      <c r="L344" s="23"/>
      <c r="M344" s="23"/>
      <c r="R344" s="23"/>
      <c r="S344" s="23"/>
      <c r="T344" s="23"/>
    </row>
    <row r="345" spans="10:20" ht="15.75" customHeight="1" x14ac:dyDescent="0.25">
      <c r="J345" s="23"/>
      <c r="K345" s="23"/>
      <c r="L345" s="23"/>
      <c r="M345" s="23"/>
      <c r="R345" s="23"/>
      <c r="S345" s="23"/>
      <c r="T345" s="23"/>
    </row>
    <row r="346" spans="10:20" ht="15.75" customHeight="1" x14ac:dyDescent="0.25">
      <c r="J346" s="23"/>
      <c r="K346" s="23"/>
      <c r="L346" s="23"/>
      <c r="M346" s="23"/>
      <c r="R346" s="23"/>
      <c r="S346" s="23"/>
      <c r="T346" s="23"/>
    </row>
    <row r="347" spans="10:20" ht="15.75" customHeight="1" x14ac:dyDescent="0.25">
      <c r="J347" s="23"/>
      <c r="K347" s="23"/>
      <c r="L347" s="23"/>
      <c r="M347" s="23"/>
      <c r="R347" s="23"/>
      <c r="S347" s="23"/>
      <c r="T347" s="23"/>
    </row>
    <row r="348" spans="10:20" ht="15.75" customHeight="1" x14ac:dyDescent="0.25">
      <c r="J348" s="23"/>
      <c r="K348" s="23"/>
      <c r="L348" s="23"/>
      <c r="M348" s="23"/>
      <c r="R348" s="23"/>
      <c r="S348" s="23"/>
      <c r="T348" s="23"/>
    </row>
    <row r="349" spans="10:20" ht="15.75" customHeight="1" x14ac:dyDescent="0.25">
      <c r="J349" s="23"/>
      <c r="K349" s="23"/>
      <c r="L349" s="23"/>
      <c r="M349" s="23"/>
      <c r="R349" s="23"/>
      <c r="S349" s="23"/>
      <c r="T349" s="23"/>
    </row>
    <row r="350" spans="10:20" ht="15.75" customHeight="1" x14ac:dyDescent="0.25">
      <c r="J350" s="23"/>
      <c r="K350" s="23"/>
      <c r="L350" s="23"/>
      <c r="M350" s="23"/>
      <c r="R350" s="23"/>
      <c r="S350" s="23"/>
      <c r="T350" s="23"/>
    </row>
    <row r="351" spans="10:20" ht="15.75" customHeight="1" x14ac:dyDescent="0.25">
      <c r="J351" s="23"/>
      <c r="K351" s="23"/>
      <c r="L351" s="23"/>
      <c r="M351" s="23"/>
      <c r="R351" s="23"/>
      <c r="S351" s="23"/>
      <c r="T351" s="23"/>
    </row>
    <row r="352" spans="10:20" ht="15.75" customHeight="1" x14ac:dyDescent="0.25">
      <c r="J352" s="23"/>
      <c r="K352" s="23"/>
      <c r="L352" s="23"/>
      <c r="M352" s="23"/>
      <c r="R352" s="23"/>
      <c r="S352" s="23"/>
      <c r="T352" s="23"/>
    </row>
    <row r="353" spans="10:20" ht="15.75" customHeight="1" x14ac:dyDescent="0.25">
      <c r="J353" s="23"/>
      <c r="K353" s="23"/>
      <c r="L353" s="23"/>
      <c r="M353" s="23"/>
      <c r="R353" s="23"/>
      <c r="S353" s="23"/>
      <c r="T353" s="23"/>
    </row>
    <row r="354" spans="10:20" ht="15.75" customHeight="1" x14ac:dyDescent="0.25">
      <c r="J354" s="23"/>
      <c r="K354" s="23"/>
      <c r="L354" s="23"/>
      <c r="M354" s="23"/>
      <c r="R354" s="23"/>
      <c r="S354" s="23"/>
      <c r="T354" s="23"/>
    </row>
    <row r="355" spans="10:20" ht="15.75" customHeight="1" x14ac:dyDescent="0.25">
      <c r="J355" s="23"/>
      <c r="K355" s="23"/>
      <c r="L355" s="23"/>
      <c r="M355" s="23"/>
      <c r="R355" s="23"/>
      <c r="S355" s="23"/>
      <c r="T355" s="23"/>
    </row>
    <row r="356" spans="10:20" ht="15.75" customHeight="1" x14ac:dyDescent="0.25">
      <c r="J356" s="23"/>
      <c r="K356" s="23"/>
      <c r="L356" s="23"/>
      <c r="M356" s="23"/>
      <c r="R356" s="23"/>
      <c r="S356" s="23"/>
      <c r="T356" s="23"/>
    </row>
    <row r="357" spans="10:20" ht="15.75" customHeight="1" x14ac:dyDescent="0.25">
      <c r="J357" s="23"/>
      <c r="K357" s="23"/>
      <c r="L357" s="23"/>
      <c r="M357" s="23"/>
      <c r="R357" s="23"/>
      <c r="S357" s="23"/>
      <c r="T357" s="23"/>
    </row>
    <row r="358" spans="10:20" ht="15.75" customHeight="1" x14ac:dyDescent="0.25">
      <c r="J358" s="23"/>
      <c r="K358" s="23"/>
      <c r="L358" s="23"/>
      <c r="M358" s="23"/>
      <c r="R358" s="23"/>
      <c r="S358" s="23"/>
      <c r="T358" s="23"/>
    </row>
    <row r="359" spans="10:20" ht="15.75" customHeight="1" x14ac:dyDescent="0.25">
      <c r="J359" s="23"/>
      <c r="K359" s="23"/>
      <c r="L359" s="23"/>
      <c r="M359" s="23"/>
      <c r="R359" s="23"/>
      <c r="S359" s="23"/>
      <c r="T359" s="23"/>
    </row>
    <row r="360" spans="10:20" ht="15.75" customHeight="1" x14ac:dyDescent="0.25">
      <c r="J360" s="23"/>
      <c r="K360" s="23"/>
      <c r="L360" s="23"/>
      <c r="M360" s="23"/>
      <c r="R360" s="23"/>
      <c r="S360" s="23"/>
      <c r="T360" s="23"/>
    </row>
    <row r="361" spans="10:20" ht="15.75" customHeight="1" x14ac:dyDescent="0.25">
      <c r="J361" s="23"/>
      <c r="K361" s="23"/>
      <c r="L361" s="23"/>
      <c r="M361" s="23"/>
      <c r="R361" s="23"/>
      <c r="S361" s="23"/>
      <c r="T361" s="23"/>
    </row>
    <row r="362" spans="10:20" ht="15.75" customHeight="1" x14ac:dyDescent="0.25">
      <c r="J362" s="23"/>
      <c r="K362" s="23"/>
      <c r="L362" s="23"/>
      <c r="M362" s="23"/>
      <c r="R362" s="23"/>
      <c r="S362" s="23"/>
      <c r="T362" s="23"/>
    </row>
    <row r="363" spans="10:20" ht="15.75" customHeight="1" x14ac:dyDescent="0.25">
      <c r="J363" s="23"/>
      <c r="K363" s="23"/>
      <c r="L363" s="23"/>
      <c r="M363" s="23"/>
      <c r="R363" s="23"/>
      <c r="S363" s="23"/>
      <c r="T363" s="23"/>
    </row>
    <row r="364" spans="10:20" ht="15.75" customHeight="1" x14ac:dyDescent="0.25">
      <c r="J364" s="23"/>
      <c r="K364" s="23"/>
      <c r="L364" s="23"/>
      <c r="M364" s="23"/>
      <c r="R364" s="23"/>
      <c r="S364" s="23"/>
      <c r="T364" s="23"/>
    </row>
    <row r="365" spans="10:20" ht="15.75" customHeight="1" x14ac:dyDescent="0.25">
      <c r="J365" s="23"/>
      <c r="K365" s="23"/>
      <c r="L365" s="23"/>
      <c r="M365" s="23"/>
      <c r="R365" s="23"/>
      <c r="S365" s="23"/>
      <c r="T365" s="23"/>
    </row>
    <row r="366" spans="10:20" ht="15.75" customHeight="1" x14ac:dyDescent="0.25">
      <c r="J366" s="23"/>
      <c r="K366" s="23"/>
      <c r="L366" s="23"/>
      <c r="M366" s="23"/>
      <c r="R366" s="23"/>
      <c r="S366" s="23"/>
      <c r="T366" s="23"/>
    </row>
    <row r="367" spans="10:20" ht="15.75" customHeight="1" x14ac:dyDescent="0.25">
      <c r="J367" s="23"/>
      <c r="K367" s="23"/>
      <c r="L367" s="23"/>
      <c r="M367" s="23"/>
      <c r="R367" s="23"/>
      <c r="S367" s="23"/>
      <c r="T367" s="23"/>
    </row>
    <row r="368" spans="10:20" ht="15.75" customHeight="1" x14ac:dyDescent="0.25">
      <c r="J368" s="23"/>
      <c r="K368" s="23"/>
      <c r="L368" s="23"/>
      <c r="M368" s="23"/>
      <c r="R368" s="23"/>
      <c r="S368" s="23"/>
      <c r="T368" s="23"/>
    </row>
    <row r="369" spans="10:20" ht="15.75" customHeight="1" x14ac:dyDescent="0.25">
      <c r="J369" s="23"/>
      <c r="K369" s="23"/>
      <c r="L369" s="23"/>
      <c r="M369" s="23"/>
      <c r="R369" s="23"/>
      <c r="S369" s="23"/>
      <c r="T369" s="23"/>
    </row>
    <row r="370" spans="10:20" ht="15.75" customHeight="1" x14ac:dyDescent="0.25">
      <c r="J370" s="23"/>
      <c r="K370" s="23"/>
      <c r="L370" s="23"/>
      <c r="M370" s="23"/>
      <c r="R370" s="23"/>
      <c r="S370" s="23"/>
      <c r="T370" s="23"/>
    </row>
    <row r="371" spans="10:20" ht="15.75" customHeight="1" x14ac:dyDescent="0.25">
      <c r="J371" s="23"/>
      <c r="K371" s="23"/>
      <c r="L371" s="23"/>
      <c r="M371" s="23"/>
      <c r="R371" s="23"/>
      <c r="S371" s="23"/>
      <c r="T371" s="23"/>
    </row>
    <row r="372" spans="10:20" ht="15.75" customHeight="1" x14ac:dyDescent="0.25">
      <c r="J372" s="23"/>
      <c r="K372" s="23"/>
      <c r="L372" s="23"/>
      <c r="M372" s="23"/>
      <c r="R372" s="23"/>
      <c r="S372" s="23"/>
      <c r="T372" s="23"/>
    </row>
    <row r="373" spans="10:20" ht="15.75" customHeight="1" x14ac:dyDescent="0.25">
      <c r="J373" s="23"/>
      <c r="K373" s="23"/>
      <c r="L373" s="23"/>
      <c r="M373" s="23"/>
      <c r="R373" s="23"/>
      <c r="S373" s="23"/>
      <c r="T373" s="23"/>
    </row>
    <row r="374" spans="10:20" ht="15.75" customHeight="1" x14ac:dyDescent="0.25">
      <c r="J374" s="23"/>
      <c r="K374" s="23"/>
      <c r="L374" s="23"/>
      <c r="M374" s="23"/>
      <c r="R374" s="23"/>
      <c r="S374" s="23"/>
      <c r="T374" s="23"/>
    </row>
    <row r="375" spans="10:20" ht="15.75" customHeight="1" x14ac:dyDescent="0.25">
      <c r="J375" s="23"/>
      <c r="K375" s="23"/>
      <c r="L375" s="23"/>
      <c r="M375" s="23"/>
      <c r="R375" s="23"/>
      <c r="S375" s="23"/>
      <c r="T375" s="23"/>
    </row>
    <row r="376" spans="10:20" ht="15.75" customHeight="1" x14ac:dyDescent="0.25">
      <c r="J376" s="23"/>
      <c r="K376" s="23"/>
      <c r="L376" s="23"/>
      <c r="M376" s="23"/>
      <c r="R376" s="23"/>
      <c r="S376" s="23"/>
      <c r="T376" s="23"/>
    </row>
    <row r="377" spans="10:20" ht="15.75" customHeight="1" x14ac:dyDescent="0.25">
      <c r="J377" s="23"/>
      <c r="K377" s="23"/>
      <c r="L377" s="23"/>
      <c r="M377" s="23"/>
      <c r="R377" s="23"/>
      <c r="S377" s="23"/>
      <c r="T377" s="23"/>
    </row>
    <row r="378" spans="10:20" ht="15.75" customHeight="1" x14ac:dyDescent="0.25">
      <c r="J378" s="23"/>
      <c r="K378" s="23"/>
      <c r="L378" s="23"/>
      <c r="M378" s="23"/>
      <c r="R378" s="23"/>
      <c r="S378" s="23"/>
      <c r="T378" s="23"/>
    </row>
    <row r="379" spans="10:20" ht="15.75" customHeight="1" x14ac:dyDescent="0.25">
      <c r="J379" s="23"/>
      <c r="K379" s="23"/>
      <c r="L379" s="23"/>
      <c r="M379" s="23"/>
      <c r="R379" s="23"/>
      <c r="S379" s="23"/>
      <c r="T379" s="23"/>
    </row>
    <row r="380" spans="10:20" ht="15.75" customHeight="1" x14ac:dyDescent="0.25">
      <c r="J380" s="23"/>
      <c r="K380" s="23"/>
      <c r="L380" s="23"/>
      <c r="M380" s="23"/>
      <c r="R380" s="23"/>
      <c r="S380" s="23"/>
      <c r="T380" s="23"/>
    </row>
    <row r="381" spans="10:20" ht="15.75" customHeight="1" x14ac:dyDescent="0.25">
      <c r="J381" s="23"/>
      <c r="K381" s="23"/>
      <c r="L381" s="23"/>
      <c r="M381" s="23"/>
      <c r="R381" s="23"/>
      <c r="S381" s="23"/>
      <c r="T381" s="23"/>
    </row>
    <row r="382" spans="10:20" ht="15.75" customHeight="1" x14ac:dyDescent="0.25">
      <c r="J382" s="23"/>
      <c r="K382" s="23"/>
      <c r="L382" s="23"/>
      <c r="M382" s="23"/>
      <c r="R382" s="23"/>
      <c r="S382" s="23"/>
      <c r="T382" s="23"/>
    </row>
    <row r="383" spans="10:20" ht="15.75" customHeight="1" x14ac:dyDescent="0.25">
      <c r="J383" s="23"/>
      <c r="K383" s="23"/>
      <c r="L383" s="23"/>
      <c r="M383" s="23"/>
      <c r="R383" s="23"/>
      <c r="S383" s="23"/>
      <c r="T383" s="23"/>
    </row>
    <row r="384" spans="10:20" ht="15.75" customHeight="1" x14ac:dyDescent="0.25">
      <c r="J384" s="23"/>
      <c r="K384" s="23"/>
      <c r="L384" s="23"/>
      <c r="M384" s="23"/>
      <c r="R384" s="23"/>
      <c r="S384" s="23"/>
      <c r="T384" s="23"/>
    </row>
    <row r="385" spans="10:20" ht="15.75" customHeight="1" x14ac:dyDescent="0.25">
      <c r="J385" s="23"/>
      <c r="K385" s="23"/>
      <c r="L385" s="23"/>
      <c r="M385" s="23"/>
      <c r="R385" s="23"/>
      <c r="S385" s="23"/>
      <c r="T385" s="23"/>
    </row>
    <row r="386" spans="10:20" ht="15.75" customHeight="1" x14ac:dyDescent="0.25">
      <c r="J386" s="23"/>
      <c r="K386" s="23"/>
      <c r="L386" s="23"/>
      <c r="M386" s="23"/>
      <c r="R386" s="23"/>
      <c r="S386" s="23"/>
      <c r="T386" s="23"/>
    </row>
    <row r="387" spans="10:20" ht="15.75" customHeight="1" x14ac:dyDescent="0.25">
      <c r="J387" s="23"/>
      <c r="K387" s="23"/>
      <c r="L387" s="23"/>
      <c r="M387" s="23"/>
      <c r="R387" s="23"/>
      <c r="S387" s="23"/>
      <c r="T387" s="23"/>
    </row>
    <row r="388" spans="10:20" ht="15.75" customHeight="1" x14ac:dyDescent="0.25">
      <c r="J388" s="23"/>
      <c r="K388" s="23"/>
      <c r="L388" s="23"/>
      <c r="M388" s="23"/>
      <c r="R388" s="23"/>
      <c r="S388" s="23"/>
      <c r="T388" s="23"/>
    </row>
    <row r="389" spans="10:20" ht="15.75" customHeight="1" x14ac:dyDescent="0.25">
      <c r="J389" s="23"/>
      <c r="K389" s="23"/>
      <c r="L389" s="23"/>
      <c r="M389" s="23"/>
      <c r="R389" s="23"/>
      <c r="S389" s="23"/>
      <c r="T389" s="23"/>
    </row>
    <row r="390" spans="10:20" ht="15.75" customHeight="1" x14ac:dyDescent="0.25">
      <c r="J390" s="23"/>
      <c r="K390" s="23"/>
      <c r="L390" s="23"/>
      <c r="M390" s="23"/>
      <c r="R390" s="23"/>
      <c r="S390" s="23"/>
      <c r="T390" s="23"/>
    </row>
    <row r="391" spans="10:20" ht="15.75" customHeight="1" x14ac:dyDescent="0.25">
      <c r="J391" s="23"/>
      <c r="K391" s="23"/>
      <c r="L391" s="23"/>
      <c r="M391" s="23"/>
      <c r="R391" s="23"/>
      <c r="S391" s="23"/>
      <c r="T391" s="23"/>
    </row>
    <row r="392" spans="10:20" ht="15.75" customHeight="1" x14ac:dyDescent="0.25">
      <c r="J392" s="23"/>
      <c r="K392" s="23"/>
      <c r="L392" s="23"/>
      <c r="M392" s="23"/>
      <c r="R392" s="23"/>
      <c r="S392" s="23"/>
      <c r="T392" s="23"/>
    </row>
    <row r="393" spans="10:20" ht="15.75" customHeight="1" x14ac:dyDescent="0.25">
      <c r="J393" s="23"/>
      <c r="K393" s="23"/>
      <c r="L393" s="23"/>
      <c r="M393" s="23"/>
      <c r="R393" s="23"/>
      <c r="S393" s="23"/>
      <c r="T393" s="23"/>
    </row>
    <row r="394" spans="10:20" ht="15.75" customHeight="1" x14ac:dyDescent="0.25">
      <c r="J394" s="23"/>
      <c r="K394" s="23"/>
      <c r="L394" s="23"/>
      <c r="M394" s="23"/>
      <c r="R394" s="23"/>
      <c r="S394" s="23"/>
      <c r="T394" s="23"/>
    </row>
    <row r="395" spans="10:20" ht="15.75" customHeight="1" x14ac:dyDescent="0.25">
      <c r="J395" s="23"/>
      <c r="K395" s="23"/>
      <c r="L395" s="23"/>
      <c r="M395" s="23"/>
      <c r="R395" s="23"/>
      <c r="S395" s="23"/>
      <c r="T395" s="23"/>
    </row>
    <row r="396" spans="10:20" ht="15.75" customHeight="1" x14ac:dyDescent="0.25">
      <c r="J396" s="23"/>
      <c r="K396" s="23"/>
      <c r="L396" s="23"/>
      <c r="M396" s="23"/>
      <c r="R396" s="23"/>
      <c r="S396" s="23"/>
      <c r="T396" s="23"/>
    </row>
    <row r="397" spans="10:20" ht="15.75" customHeight="1" x14ac:dyDescent="0.25">
      <c r="J397" s="23"/>
      <c r="K397" s="23"/>
      <c r="L397" s="23"/>
      <c r="M397" s="23"/>
      <c r="R397" s="23"/>
      <c r="S397" s="23"/>
      <c r="T397" s="23"/>
    </row>
    <row r="398" spans="10:20" ht="15.75" customHeight="1" x14ac:dyDescent="0.25">
      <c r="J398" s="23"/>
      <c r="K398" s="23"/>
      <c r="L398" s="23"/>
      <c r="M398" s="23"/>
      <c r="R398" s="23"/>
      <c r="S398" s="23"/>
      <c r="T398" s="23"/>
    </row>
    <row r="399" spans="10:20" ht="15.75" customHeight="1" x14ac:dyDescent="0.25">
      <c r="J399" s="23"/>
      <c r="K399" s="23"/>
      <c r="L399" s="23"/>
      <c r="M399" s="23"/>
      <c r="R399" s="23"/>
      <c r="S399" s="23"/>
      <c r="T399" s="23"/>
    </row>
    <row r="400" spans="10:20" ht="15.75" customHeight="1" x14ac:dyDescent="0.25">
      <c r="J400" s="23"/>
      <c r="K400" s="23"/>
      <c r="L400" s="23"/>
      <c r="M400" s="23"/>
      <c r="R400" s="23"/>
      <c r="S400" s="23"/>
      <c r="T400" s="23"/>
    </row>
    <row r="401" spans="10:20" ht="15.75" customHeight="1" x14ac:dyDescent="0.25">
      <c r="J401" s="23"/>
      <c r="K401" s="23"/>
      <c r="L401" s="23"/>
      <c r="M401" s="23"/>
      <c r="R401" s="23"/>
      <c r="S401" s="23"/>
      <c r="T401" s="23"/>
    </row>
    <row r="402" spans="10:20" ht="15.75" customHeight="1" x14ac:dyDescent="0.25">
      <c r="J402" s="23"/>
      <c r="K402" s="23"/>
      <c r="L402" s="23"/>
      <c r="M402" s="23"/>
      <c r="R402" s="23"/>
      <c r="S402" s="23"/>
      <c r="T402" s="23"/>
    </row>
    <row r="403" spans="10:20" ht="15.75" customHeight="1" x14ac:dyDescent="0.25">
      <c r="J403" s="23"/>
      <c r="K403" s="23"/>
      <c r="L403" s="23"/>
      <c r="M403" s="23"/>
      <c r="R403" s="23"/>
      <c r="S403" s="23"/>
      <c r="T403" s="23"/>
    </row>
    <row r="404" spans="10:20" ht="15.75" customHeight="1" x14ac:dyDescent="0.25">
      <c r="J404" s="23"/>
      <c r="K404" s="23"/>
      <c r="L404" s="23"/>
      <c r="M404" s="23"/>
      <c r="R404" s="23"/>
      <c r="S404" s="23"/>
      <c r="T404" s="23"/>
    </row>
    <row r="405" spans="10:20" ht="15.75" customHeight="1" x14ac:dyDescent="0.25">
      <c r="J405" s="23"/>
      <c r="K405" s="23"/>
      <c r="L405" s="23"/>
      <c r="M405" s="23"/>
      <c r="R405" s="23"/>
      <c r="S405" s="23"/>
      <c r="T405" s="23"/>
    </row>
    <row r="406" spans="10:20" ht="15.75" customHeight="1" x14ac:dyDescent="0.25">
      <c r="J406" s="23"/>
      <c r="K406" s="23"/>
      <c r="L406" s="23"/>
      <c r="M406" s="23"/>
      <c r="R406" s="23"/>
      <c r="S406" s="23"/>
      <c r="T406" s="23"/>
    </row>
    <row r="407" spans="10:20" ht="15.75" customHeight="1" x14ac:dyDescent="0.25">
      <c r="J407" s="23"/>
      <c r="K407" s="23"/>
      <c r="L407" s="23"/>
      <c r="M407" s="23"/>
      <c r="R407" s="23"/>
      <c r="S407" s="23"/>
      <c r="T407" s="23"/>
    </row>
    <row r="408" spans="10:20" ht="15.75" customHeight="1" x14ac:dyDescent="0.25">
      <c r="J408" s="23"/>
      <c r="K408" s="23"/>
      <c r="L408" s="23"/>
      <c r="M408" s="23"/>
      <c r="R408" s="23"/>
      <c r="S408" s="23"/>
      <c r="T408" s="23"/>
    </row>
    <row r="409" spans="10:20" ht="15.75" customHeight="1" x14ac:dyDescent="0.25">
      <c r="J409" s="23"/>
      <c r="K409" s="23"/>
      <c r="L409" s="23"/>
      <c r="M409" s="23"/>
      <c r="R409" s="23"/>
      <c r="S409" s="23"/>
      <c r="T409" s="23"/>
    </row>
    <row r="410" spans="10:20" ht="15.75" customHeight="1" x14ac:dyDescent="0.25">
      <c r="J410" s="23"/>
      <c r="K410" s="23"/>
      <c r="L410" s="23"/>
      <c r="M410" s="23"/>
      <c r="R410" s="23"/>
      <c r="S410" s="23"/>
      <c r="T410" s="23"/>
    </row>
    <row r="411" spans="10:20" ht="15.75" customHeight="1" x14ac:dyDescent="0.25">
      <c r="J411" s="23"/>
      <c r="K411" s="23"/>
      <c r="L411" s="23"/>
      <c r="M411" s="23"/>
      <c r="R411" s="23"/>
      <c r="S411" s="23"/>
      <c r="T411" s="23"/>
    </row>
    <row r="412" spans="10:20" ht="15.75" customHeight="1" x14ac:dyDescent="0.25">
      <c r="J412" s="23"/>
      <c r="K412" s="23"/>
      <c r="L412" s="23"/>
      <c r="M412" s="23"/>
      <c r="R412" s="23"/>
      <c r="S412" s="23"/>
      <c r="T412" s="23"/>
    </row>
    <row r="413" spans="10:20" ht="15.75" customHeight="1" x14ac:dyDescent="0.25">
      <c r="J413" s="23"/>
      <c r="K413" s="23"/>
      <c r="L413" s="23"/>
      <c r="M413" s="23"/>
      <c r="R413" s="23"/>
      <c r="S413" s="23"/>
      <c r="T413" s="23"/>
    </row>
    <row r="414" spans="10:20" ht="15.75" customHeight="1" x14ac:dyDescent="0.25">
      <c r="J414" s="23"/>
      <c r="K414" s="23"/>
      <c r="L414" s="23"/>
      <c r="M414" s="23"/>
      <c r="R414" s="23"/>
      <c r="S414" s="23"/>
      <c r="T414" s="23"/>
    </row>
    <row r="415" spans="10:20" ht="15.75" customHeight="1" x14ac:dyDescent="0.25">
      <c r="J415" s="23"/>
      <c r="K415" s="23"/>
      <c r="L415" s="23"/>
      <c r="M415" s="23"/>
      <c r="R415" s="23"/>
      <c r="S415" s="23"/>
      <c r="T415" s="23"/>
    </row>
    <row r="416" spans="10:20" ht="15.75" customHeight="1" x14ac:dyDescent="0.25">
      <c r="J416" s="23"/>
      <c r="K416" s="23"/>
      <c r="L416" s="23"/>
      <c r="M416" s="23"/>
      <c r="R416" s="23"/>
      <c r="S416" s="23"/>
      <c r="T416" s="23"/>
    </row>
    <row r="417" spans="10:20" ht="15.75" customHeight="1" x14ac:dyDescent="0.25">
      <c r="J417" s="23"/>
      <c r="K417" s="23"/>
      <c r="L417" s="23"/>
      <c r="M417" s="23"/>
      <c r="R417" s="23"/>
      <c r="S417" s="23"/>
      <c r="T417" s="23"/>
    </row>
    <row r="418" spans="10:20" ht="15.75" customHeight="1" x14ac:dyDescent="0.25">
      <c r="J418" s="23"/>
      <c r="K418" s="23"/>
      <c r="L418" s="23"/>
      <c r="M418" s="23"/>
      <c r="R418" s="23"/>
      <c r="S418" s="23"/>
      <c r="T418" s="23"/>
    </row>
    <row r="419" spans="10:20" ht="15.75" customHeight="1" x14ac:dyDescent="0.25">
      <c r="J419" s="23"/>
      <c r="K419" s="23"/>
      <c r="L419" s="23"/>
      <c r="M419" s="23"/>
      <c r="R419" s="23"/>
      <c r="S419" s="23"/>
      <c r="T419" s="23"/>
    </row>
    <row r="420" spans="10:20" ht="15.75" customHeight="1" x14ac:dyDescent="0.25">
      <c r="J420" s="23"/>
      <c r="K420" s="23"/>
      <c r="L420" s="23"/>
      <c r="M420" s="23"/>
      <c r="R420" s="23"/>
      <c r="S420" s="23"/>
      <c r="T420" s="23"/>
    </row>
    <row r="421" spans="10:20" ht="15.75" customHeight="1" x14ac:dyDescent="0.25">
      <c r="J421" s="23"/>
      <c r="K421" s="23"/>
      <c r="L421" s="23"/>
      <c r="M421" s="23"/>
      <c r="R421" s="23"/>
      <c r="S421" s="23"/>
      <c r="T421" s="23"/>
    </row>
    <row r="422" spans="10:20" ht="15.75" customHeight="1" x14ac:dyDescent="0.25">
      <c r="J422" s="23"/>
      <c r="K422" s="23"/>
      <c r="L422" s="23"/>
      <c r="M422" s="23"/>
      <c r="R422" s="23"/>
      <c r="S422" s="23"/>
      <c r="T422" s="23"/>
    </row>
    <row r="423" spans="10:20" ht="15.75" customHeight="1" x14ac:dyDescent="0.25">
      <c r="J423" s="23"/>
      <c r="K423" s="23"/>
      <c r="L423" s="23"/>
      <c r="M423" s="23"/>
      <c r="R423" s="23"/>
      <c r="S423" s="23"/>
      <c r="T423" s="23"/>
    </row>
    <row r="424" spans="10:20" ht="15.75" customHeight="1" x14ac:dyDescent="0.25">
      <c r="J424" s="23"/>
      <c r="K424" s="23"/>
      <c r="L424" s="23"/>
      <c r="M424" s="23"/>
      <c r="R424" s="23"/>
      <c r="S424" s="23"/>
      <c r="T424" s="23"/>
    </row>
    <row r="425" spans="10:20" ht="15.75" customHeight="1" x14ac:dyDescent="0.25">
      <c r="J425" s="23"/>
      <c r="K425" s="23"/>
      <c r="L425" s="23"/>
      <c r="M425" s="23"/>
      <c r="R425" s="23"/>
      <c r="S425" s="23"/>
      <c r="T425" s="23"/>
    </row>
    <row r="426" spans="10:20" ht="15.75" customHeight="1" x14ac:dyDescent="0.25">
      <c r="J426" s="23"/>
      <c r="K426" s="23"/>
      <c r="L426" s="23"/>
      <c r="M426" s="23"/>
      <c r="R426" s="23"/>
      <c r="S426" s="23"/>
      <c r="T426" s="23"/>
    </row>
    <row r="427" spans="10:20" ht="15.75" customHeight="1" x14ac:dyDescent="0.25">
      <c r="J427" s="23"/>
      <c r="K427" s="23"/>
      <c r="L427" s="23"/>
      <c r="M427" s="23"/>
      <c r="R427" s="23"/>
      <c r="S427" s="23"/>
      <c r="T427" s="23"/>
    </row>
    <row r="428" spans="10:20" ht="15.75" customHeight="1" x14ac:dyDescent="0.25">
      <c r="J428" s="23"/>
      <c r="K428" s="23"/>
      <c r="L428" s="23"/>
      <c r="M428" s="23"/>
      <c r="R428" s="23"/>
      <c r="S428" s="23"/>
      <c r="T428" s="23"/>
    </row>
    <row r="429" spans="10:20" ht="15.75" customHeight="1" x14ac:dyDescent="0.25">
      <c r="J429" s="23"/>
      <c r="K429" s="23"/>
      <c r="L429" s="23"/>
      <c r="M429" s="23"/>
      <c r="R429" s="23"/>
      <c r="S429" s="23"/>
      <c r="T429" s="23"/>
    </row>
    <row r="430" spans="10:20" ht="15.75" customHeight="1" x14ac:dyDescent="0.25">
      <c r="J430" s="23"/>
      <c r="K430" s="23"/>
      <c r="L430" s="23"/>
      <c r="M430" s="23"/>
      <c r="R430" s="23"/>
      <c r="S430" s="23"/>
      <c r="T430" s="23"/>
    </row>
    <row r="431" spans="10:20" ht="15.75" customHeight="1" x14ac:dyDescent="0.25">
      <c r="J431" s="23"/>
      <c r="K431" s="23"/>
      <c r="L431" s="23"/>
      <c r="M431" s="23"/>
      <c r="R431" s="23"/>
      <c r="S431" s="23"/>
      <c r="T431" s="23"/>
    </row>
    <row r="432" spans="10:20" ht="15.75" customHeight="1" x14ac:dyDescent="0.25">
      <c r="J432" s="23"/>
      <c r="K432" s="23"/>
      <c r="L432" s="23"/>
      <c r="M432" s="23"/>
      <c r="R432" s="23"/>
      <c r="S432" s="23"/>
      <c r="T432" s="23"/>
    </row>
    <row r="433" spans="10:20" ht="15.75" customHeight="1" x14ac:dyDescent="0.25">
      <c r="J433" s="23"/>
      <c r="K433" s="23"/>
      <c r="L433" s="23"/>
      <c r="M433" s="23"/>
      <c r="R433" s="23"/>
      <c r="S433" s="23"/>
      <c r="T433" s="23"/>
    </row>
    <row r="434" spans="10:20" ht="15.75" customHeight="1" x14ac:dyDescent="0.25">
      <c r="J434" s="23"/>
      <c r="K434" s="23"/>
      <c r="L434" s="23"/>
      <c r="M434" s="23"/>
      <c r="R434" s="23"/>
      <c r="S434" s="23"/>
      <c r="T434" s="23"/>
    </row>
    <row r="435" spans="10:20" ht="15.75" customHeight="1" x14ac:dyDescent="0.25">
      <c r="J435" s="23"/>
      <c r="K435" s="23"/>
      <c r="L435" s="23"/>
      <c r="M435" s="23"/>
      <c r="R435" s="23"/>
      <c r="S435" s="23"/>
      <c r="T435" s="23"/>
    </row>
    <row r="436" spans="10:20" ht="15.75" customHeight="1" x14ac:dyDescent="0.25">
      <c r="J436" s="23"/>
      <c r="K436" s="23"/>
      <c r="L436" s="23"/>
      <c r="M436" s="23"/>
      <c r="R436" s="23"/>
      <c r="S436" s="23"/>
      <c r="T436" s="23"/>
    </row>
    <row r="437" spans="10:20" ht="15.75" customHeight="1" x14ac:dyDescent="0.25">
      <c r="J437" s="23"/>
      <c r="K437" s="23"/>
      <c r="L437" s="23"/>
      <c r="M437" s="23"/>
      <c r="R437" s="23"/>
      <c r="S437" s="23"/>
      <c r="T437" s="23"/>
    </row>
    <row r="438" spans="10:20" ht="15.75" customHeight="1" x14ac:dyDescent="0.25">
      <c r="J438" s="23"/>
      <c r="K438" s="23"/>
      <c r="L438" s="23"/>
      <c r="M438" s="23"/>
      <c r="R438" s="23"/>
      <c r="S438" s="23"/>
      <c r="T438" s="23"/>
    </row>
    <row r="439" spans="10:20" ht="15.75" customHeight="1" x14ac:dyDescent="0.25">
      <c r="J439" s="23"/>
      <c r="K439" s="23"/>
      <c r="L439" s="23"/>
      <c r="M439" s="23"/>
      <c r="R439" s="23"/>
      <c r="S439" s="23"/>
      <c r="T439" s="23"/>
    </row>
    <row r="440" spans="10:20" ht="15.75" customHeight="1" x14ac:dyDescent="0.25">
      <c r="J440" s="23"/>
      <c r="K440" s="23"/>
      <c r="L440" s="23"/>
      <c r="M440" s="23"/>
      <c r="R440" s="23"/>
      <c r="S440" s="23"/>
      <c r="T440" s="23"/>
    </row>
    <row r="441" spans="10:20" ht="15.75" customHeight="1" x14ac:dyDescent="0.25">
      <c r="J441" s="23"/>
      <c r="K441" s="23"/>
      <c r="L441" s="23"/>
      <c r="M441" s="23"/>
      <c r="R441" s="23"/>
      <c r="S441" s="23"/>
      <c r="T441" s="23"/>
    </row>
    <row r="442" spans="10:20" ht="15.75" customHeight="1" x14ac:dyDescent="0.25">
      <c r="J442" s="23"/>
      <c r="K442" s="23"/>
      <c r="L442" s="23"/>
      <c r="M442" s="23"/>
      <c r="R442" s="23"/>
      <c r="S442" s="23"/>
      <c r="T442" s="23"/>
    </row>
    <row r="443" spans="10:20" ht="15.75" customHeight="1" x14ac:dyDescent="0.25">
      <c r="J443" s="23"/>
      <c r="K443" s="23"/>
      <c r="L443" s="23"/>
      <c r="M443" s="23"/>
      <c r="R443" s="23"/>
      <c r="S443" s="23"/>
      <c r="T443" s="23"/>
    </row>
    <row r="444" spans="10:20" ht="15.75" customHeight="1" x14ac:dyDescent="0.25">
      <c r="J444" s="23"/>
      <c r="K444" s="23"/>
      <c r="L444" s="23"/>
      <c r="M444" s="23"/>
      <c r="R444" s="23"/>
      <c r="S444" s="23"/>
      <c r="T444" s="23"/>
    </row>
    <row r="445" spans="10:20" ht="15.75" customHeight="1" x14ac:dyDescent="0.25">
      <c r="J445" s="23"/>
      <c r="K445" s="23"/>
      <c r="L445" s="23"/>
      <c r="M445" s="23"/>
      <c r="R445" s="23"/>
      <c r="S445" s="23"/>
      <c r="T445" s="23"/>
    </row>
    <row r="446" spans="10:20" ht="15.75" customHeight="1" x14ac:dyDescent="0.25">
      <c r="J446" s="23"/>
      <c r="K446" s="23"/>
      <c r="L446" s="23"/>
      <c r="M446" s="23"/>
      <c r="R446" s="23"/>
      <c r="S446" s="23"/>
      <c r="T446" s="23"/>
    </row>
    <row r="447" spans="10:20" ht="15.75" customHeight="1" x14ac:dyDescent="0.25">
      <c r="J447" s="23"/>
      <c r="K447" s="23"/>
      <c r="L447" s="23"/>
      <c r="M447" s="23"/>
      <c r="R447" s="23"/>
      <c r="S447" s="23"/>
      <c r="T447" s="23"/>
    </row>
    <row r="448" spans="10:20" ht="15.75" customHeight="1" x14ac:dyDescent="0.25">
      <c r="J448" s="23"/>
      <c r="K448" s="23"/>
      <c r="L448" s="23"/>
      <c r="M448" s="23"/>
      <c r="R448" s="23"/>
      <c r="S448" s="23"/>
      <c r="T448" s="23"/>
    </row>
    <row r="449" spans="10:20" ht="15.75" customHeight="1" x14ac:dyDescent="0.25">
      <c r="J449" s="23"/>
      <c r="K449" s="23"/>
      <c r="L449" s="23"/>
      <c r="M449" s="23"/>
      <c r="R449" s="23"/>
      <c r="S449" s="23"/>
      <c r="T449" s="23"/>
    </row>
    <row r="450" spans="10:20" ht="15.75" customHeight="1" x14ac:dyDescent="0.25">
      <c r="J450" s="23"/>
      <c r="K450" s="23"/>
      <c r="L450" s="23"/>
      <c r="M450" s="23"/>
      <c r="R450" s="23"/>
      <c r="S450" s="23"/>
      <c r="T450" s="23"/>
    </row>
    <row r="451" spans="10:20" ht="15.75" customHeight="1" x14ac:dyDescent="0.25">
      <c r="J451" s="23"/>
      <c r="K451" s="23"/>
      <c r="L451" s="23"/>
      <c r="M451" s="23"/>
      <c r="R451" s="23"/>
      <c r="S451" s="23"/>
      <c r="T451" s="23"/>
    </row>
    <row r="452" spans="10:20" ht="15.75" customHeight="1" x14ac:dyDescent="0.25">
      <c r="J452" s="23"/>
      <c r="K452" s="23"/>
      <c r="L452" s="23"/>
      <c r="M452" s="23"/>
      <c r="R452" s="23"/>
      <c r="S452" s="23"/>
      <c r="T452" s="23"/>
    </row>
    <row r="453" spans="10:20" ht="15.75" customHeight="1" x14ac:dyDescent="0.25">
      <c r="J453" s="23"/>
      <c r="K453" s="23"/>
      <c r="L453" s="23"/>
      <c r="M453" s="23"/>
      <c r="R453" s="23"/>
      <c r="S453" s="23"/>
      <c r="T453" s="23"/>
    </row>
    <row r="454" spans="10:20" ht="15.75" customHeight="1" x14ac:dyDescent="0.25">
      <c r="J454" s="23"/>
      <c r="K454" s="23"/>
      <c r="L454" s="23"/>
      <c r="M454" s="23"/>
      <c r="R454" s="23"/>
      <c r="S454" s="23"/>
      <c r="T454" s="23"/>
    </row>
    <row r="455" spans="10:20" ht="15.75" customHeight="1" x14ac:dyDescent="0.25">
      <c r="J455" s="23"/>
      <c r="K455" s="23"/>
      <c r="L455" s="23"/>
      <c r="M455" s="23"/>
      <c r="R455" s="23"/>
      <c r="S455" s="23"/>
      <c r="T455" s="23"/>
    </row>
    <row r="456" spans="10:20" ht="15.75" customHeight="1" x14ac:dyDescent="0.25">
      <c r="J456" s="23"/>
      <c r="K456" s="23"/>
      <c r="L456" s="23"/>
      <c r="M456" s="23"/>
      <c r="R456" s="23"/>
      <c r="S456" s="23"/>
      <c r="T456" s="23"/>
    </row>
    <row r="457" spans="10:20" ht="15.75" customHeight="1" x14ac:dyDescent="0.25">
      <c r="J457" s="23"/>
      <c r="K457" s="23"/>
      <c r="L457" s="23"/>
      <c r="M457" s="23"/>
      <c r="R457" s="23"/>
      <c r="S457" s="23"/>
      <c r="T457" s="23"/>
    </row>
    <row r="458" spans="10:20" ht="15.75" customHeight="1" x14ac:dyDescent="0.25">
      <c r="J458" s="23"/>
      <c r="K458" s="23"/>
      <c r="L458" s="23"/>
      <c r="M458" s="23"/>
      <c r="R458" s="23"/>
      <c r="S458" s="23"/>
      <c r="T458" s="23"/>
    </row>
    <row r="459" spans="10:20" ht="15.75" customHeight="1" x14ac:dyDescent="0.25">
      <c r="J459" s="23"/>
      <c r="K459" s="23"/>
      <c r="L459" s="23"/>
      <c r="M459" s="23"/>
      <c r="R459" s="23"/>
      <c r="S459" s="23"/>
      <c r="T459" s="23"/>
    </row>
    <row r="460" spans="10:20" ht="15.75" customHeight="1" x14ac:dyDescent="0.25">
      <c r="J460" s="23"/>
      <c r="K460" s="23"/>
      <c r="L460" s="23"/>
      <c r="M460" s="23"/>
      <c r="R460" s="23"/>
      <c r="S460" s="23"/>
      <c r="T460" s="23"/>
    </row>
    <row r="461" spans="10:20" ht="15.75" customHeight="1" x14ac:dyDescent="0.25">
      <c r="J461" s="23"/>
      <c r="K461" s="23"/>
      <c r="L461" s="23"/>
      <c r="M461" s="23"/>
      <c r="R461" s="23"/>
      <c r="S461" s="23"/>
      <c r="T461" s="23"/>
    </row>
    <row r="462" spans="10:20" ht="15.75" customHeight="1" x14ac:dyDescent="0.25">
      <c r="J462" s="23"/>
      <c r="K462" s="23"/>
      <c r="L462" s="23"/>
      <c r="M462" s="23"/>
      <c r="R462" s="23"/>
      <c r="S462" s="23"/>
      <c r="T462" s="23"/>
    </row>
    <row r="463" spans="10:20" ht="15.75" customHeight="1" x14ac:dyDescent="0.25">
      <c r="J463" s="23"/>
      <c r="K463" s="23"/>
      <c r="L463" s="23"/>
      <c r="M463" s="23"/>
      <c r="R463" s="23"/>
      <c r="S463" s="23"/>
      <c r="T463" s="23"/>
    </row>
    <row r="464" spans="10:20" ht="15.75" customHeight="1" x14ac:dyDescent="0.25">
      <c r="J464" s="23"/>
      <c r="K464" s="23"/>
      <c r="L464" s="23"/>
      <c r="M464" s="23"/>
      <c r="R464" s="23"/>
      <c r="S464" s="23"/>
      <c r="T464" s="23"/>
    </row>
    <row r="465" spans="10:20" ht="15.75" customHeight="1" x14ac:dyDescent="0.25">
      <c r="J465" s="23"/>
      <c r="K465" s="23"/>
      <c r="L465" s="23"/>
      <c r="M465" s="23"/>
      <c r="R465" s="23"/>
      <c r="S465" s="23"/>
      <c r="T465" s="23"/>
    </row>
    <row r="466" spans="10:20" ht="15.75" customHeight="1" x14ac:dyDescent="0.25">
      <c r="J466" s="23"/>
      <c r="K466" s="23"/>
      <c r="L466" s="23"/>
      <c r="M466" s="23"/>
      <c r="R466" s="23"/>
      <c r="S466" s="23"/>
      <c r="T466" s="23"/>
    </row>
    <row r="467" spans="10:20" ht="15.75" customHeight="1" x14ac:dyDescent="0.25">
      <c r="J467" s="23"/>
      <c r="K467" s="23"/>
      <c r="L467" s="23"/>
      <c r="M467" s="23"/>
      <c r="R467" s="23"/>
      <c r="S467" s="23"/>
      <c r="T467" s="23"/>
    </row>
    <row r="468" spans="10:20" ht="15.75" customHeight="1" x14ac:dyDescent="0.25">
      <c r="J468" s="23"/>
      <c r="K468" s="23"/>
      <c r="L468" s="23"/>
      <c r="M468" s="23"/>
      <c r="R468" s="23"/>
      <c r="S468" s="23"/>
      <c r="T468" s="23"/>
    </row>
    <row r="469" spans="10:20" ht="15.75" customHeight="1" x14ac:dyDescent="0.25">
      <c r="J469" s="23"/>
      <c r="K469" s="23"/>
      <c r="L469" s="23"/>
      <c r="M469" s="23"/>
      <c r="R469" s="23"/>
      <c r="S469" s="23"/>
      <c r="T469" s="23"/>
    </row>
    <row r="470" spans="10:20" ht="15.75" customHeight="1" x14ac:dyDescent="0.25">
      <c r="J470" s="23"/>
      <c r="K470" s="23"/>
      <c r="L470" s="23"/>
      <c r="M470" s="23"/>
      <c r="R470" s="23"/>
      <c r="S470" s="23"/>
      <c r="T470" s="23"/>
    </row>
    <row r="471" spans="10:20" ht="15.75" customHeight="1" x14ac:dyDescent="0.25">
      <c r="J471" s="23"/>
      <c r="K471" s="23"/>
      <c r="L471" s="23"/>
      <c r="M471" s="23"/>
      <c r="R471" s="23"/>
      <c r="S471" s="23"/>
      <c r="T471" s="23"/>
    </row>
    <row r="472" spans="10:20" ht="15.75" customHeight="1" x14ac:dyDescent="0.25">
      <c r="J472" s="23"/>
      <c r="K472" s="23"/>
      <c r="L472" s="23"/>
      <c r="M472" s="23"/>
      <c r="R472" s="23"/>
      <c r="S472" s="23"/>
      <c r="T472" s="23"/>
    </row>
    <row r="473" spans="10:20" ht="15.75" customHeight="1" x14ac:dyDescent="0.25">
      <c r="J473" s="23"/>
      <c r="K473" s="23"/>
      <c r="L473" s="23"/>
      <c r="M473" s="23"/>
      <c r="R473" s="23"/>
      <c r="S473" s="23"/>
      <c r="T473" s="23"/>
    </row>
    <row r="474" spans="10:20" ht="15.75" customHeight="1" x14ac:dyDescent="0.25">
      <c r="J474" s="23"/>
      <c r="K474" s="23"/>
      <c r="L474" s="23"/>
      <c r="M474" s="23"/>
      <c r="R474" s="23"/>
      <c r="S474" s="23"/>
      <c r="T474" s="23"/>
    </row>
    <row r="475" spans="10:20" ht="15.75" customHeight="1" x14ac:dyDescent="0.25">
      <c r="J475" s="23"/>
      <c r="K475" s="23"/>
      <c r="L475" s="23"/>
      <c r="M475" s="23"/>
      <c r="R475" s="23"/>
      <c r="S475" s="23"/>
      <c r="T475" s="23"/>
    </row>
    <row r="476" spans="10:20" ht="15.75" customHeight="1" x14ac:dyDescent="0.25">
      <c r="J476" s="23"/>
      <c r="K476" s="23"/>
      <c r="L476" s="23"/>
      <c r="M476" s="23"/>
      <c r="R476" s="23"/>
      <c r="S476" s="23"/>
      <c r="T476" s="23"/>
    </row>
    <row r="477" spans="10:20" ht="15.75" customHeight="1" x14ac:dyDescent="0.25">
      <c r="J477" s="23"/>
      <c r="K477" s="23"/>
      <c r="L477" s="23"/>
      <c r="M477" s="23"/>
      <c r="R477" s="23"/>
      <c r="S477" s="23"/>
      <c r="T477" s="23"/>
    </row>
    <row r="478" spans="10:20" ht="15.75" customHeight="1" x14ac:dyDescent="0.25">
      <c r="J478" s="23"/>
      <c r="K478" s="23"/>
      <c r="L478" s="23"/>
      <c r="M478" s="23"/>
      <c r="R478" s="23"/>
      <c r="S478" s="23"/>
      <c r="T478" s="23"/>
    </row>
    <row r="479" spans="10:20" ht="15.75" customHeight="1" x14ac:dyDescent="0.25">
      <c r="J479" s="23"/>
      <c r="K479" s="23"/>
      <c r="L479" s="23"/>
      <c r="M479" s="23"/>
      <c r="R479" s="23"/>
      <c r="S479" s="23"/>
      <c r="T479" s="23"/>
    </row>
    <row r="480" spans="10:20" ht="15.75" customHeight="1" x14ac:dyDescent="0.25">
      <c r="J480" s="23"/>
      <c r="K480" s="23"/>
      <c r="L480" s="23"/>
      <c r="M480" s="23"/>
      <c r="R480" s="23"/>
      <c r="S480" s="23"/>
      <c r="T480" s="23"/>
    </row>
    <row r="481" spans="10:20" ht="15.75" customHeight="1" x14ac:dyDescent="0.25">
      <c r="J481" s="23"/>
      <c r="K481" s="23"/>
      <c r="L481" s="23"/>
      <c r="M481" s="23"/>
      <c r="R481" s="23"/>
      <c r="S481" s="23"/>
      <c r="T481" s="23"/>
    </row>
    <row r="482" spans="10:20" ht="15.75" customHeight="1" x14ac:dyDescent="0.25">
      <c r="J482" s="23"/>
      <c r="K482" s="23"/>
      <c r="L482" s="23"/>
      <c r="M482" s="23"/>
      <c r="R482" s="23"/>
      <c r="S482" s="23"/>
      <c r="T482" s="23"/>
    </row>
    <row r="483" spans="10:20" ht="15.75" customHeight="1" x14ac:dyDescent="0.25">
      <c r="J483" s="23"/>
      <c r="K483" s="23"/>
      <c r="L483" s="23"/>
      <c r="M483" s="23"/>
      <c r="R483" s="23"/>
      <c r="S483" s="23"/>
      <c r="T483" s="23"/>
    </row>
    <row r="484" spans="10:20" ht="15.75" customHeight="1" x14ac:dyDescent="0.25">
      <c r="J484" s="23"/>
      <c r="K484" s="23"/>
      <c r="L484" s="23"/>
      <c r="M484" s="23"/>
      <c r="R484" s="23"/>
      <c r="S484" s="23"/>
      <c r="T484" s="23"/>
    </row>
    <row r="485" spans="10:20" ht="15.75" customHeight="1" x14ac:dyDescent="0.25">
      <c r="J485" s="23"/>
      <c r="K485" s="23"/>
      <c r="L485" s="23"/>
      <c r="M485" s="23"/>
      <c r="R485" s="23"/>
      <c r="S485" s="23"/>
      <c r="T485" s="23"/>
    </row>
    <row r="486" spans="10:20" ht="15.75" customHeight="1" x14ac:dyDescent="0.25">
      <c r="J486" s="23"/>
      <c r="K486" s="23"/>
      <c r="L486" s="23"/>
      <c r="M486" s="23"/>
      <c r="R486" s="23"/>
      <c r="S486" s="23"/>
      <c r="T486" s="23"/>
    </row>
    <row r="487" spans="10:20" ht="15.75" customHeight="1" x14ac:dyDescent="0.25">
      <c r="J487" s="23"/>
      <c r="K487" s="23"/>
      <c r="L487" s="23"/>
      <c r="M487" s="23"/>
      <c r="R487" s="23"/>
      <c r="S487" s="23"/>
      <c r="T487" s="23"/>
    </row>
    <row r="488" spans="10:20" ht="15.75" customHeight="1" x14ac:dyDescent="0.25">
      <c r="J488" s="23"/>
      <c r="K488" s="23"/>
      <c r="L488" s="23"/>
      <c r="M488" s="23"/>
      <c r="R488" s="23"/>
      <c r="S488" s="23"/>
      <c r="T488" s="23"/>
    </row>
    <row r="489" spans="10:20" ht="15.75" customHeight="1" x14ac:dyDescent="0.25">
      <c r="J489" s="23"/>
      <c r="K489" s="23"/>
      <c r="L489" s="23"/>
      <c r="M489" s="23"/>
      <c r="R489" s="23"/>
      <c r="S489" s="23"/>
      <c r="T489" s="23"/>
    </row>
    <row r="490" spans="10:20" ht="15.75" customHeight="1" x14ac:dyDescent="0.25">
      <c r="J490" s="23"/>
      <c r="K490" s="23"/>
      <c r="L490" s="23"/>
      <c r="M490" s="23"/>
      <c r="R490" s="23"/>
      <c r="S490" s="23"/>
      <c r="T490" s="23"/>
    </row>
    <row r="491" spans="10:20" ht="15.75" customHeight="1" x14ac:dyDescent="0.25">
      <c r="J491" s="23"/>
      <c r="K491" s="23"/>
      <c r="L491" s="23"/>
      <c r="M491" s="23"/>
      <c r="R491" s="23"/>
      <c r="S491" s="23"/>
      <c r="T491" s="23"/>
    </row>
    <row r="492" spans="10:20" ht="15.75" customHeight="1" x14ac:dyDescent="0.25">
      <c r="J492" s="23"/>
      <c r="K492" s="23"/>
      <c r="L492" s="23"/>
      <c r="M492" s="23"/>
      <c r="R492" s="23"/>
      <c r="S492" s="23"/>
      <c r="T492" s="23"/>
    </row>
    <row r="493" spans="10:20" ht="15.75" customHeight="1" x14ac:dyDescent="0.25">
      <c r="J493" s="23"/>
      <c r="K493" s="23"/>
      <c r="L493" s="23"/>
      <c r="M493" s="23"/>
      <c r="R493" s="23"/>
      <c r="S493" s="23"/>
      <c r="T493" s="23"/>
    </row>
    <row r="494" spans="10:20" ht="15.75" customHeight="1" x14ac:dyDescent="0.25">
      <c r="J494" s="23"/>
      <c r="K494" s="23"/>
      <c r="L494" s="23"/>
      <c r="M494" s="23"/>
      <c r="R494" s="23"/>
      <c r="S494" s="23"/>
      <c r="T494" s="23"/>
    </row>
    <row r="495" spans="10:20" ht="15.75" customHeight="1" x14ac:dyDescent="0.25">
      <c r="J495" s="23"/>
      <c r="K495" s="23"/>
      <c r="L495" s="23"/>
      <c r="M495" s="23"/>
      <c r="R495" s="23"/>
      <c r="S495" s="23"/>
      <c r="T495" s="23"/>
    </row>
    <row r="496" spans="10:20" ht="15.75" customHeight="1" x14ac:dyDescent="0.25">
      <c r="J496" s="23"/>
      <c r="K496" s="23"/>
      <c r="L496" s="23"/>
      <c r="M496" s="23"/>
      <c r="R496" s="23"/>
      <c r="S496" s="23"/>
      <c r="T496" s="23"/>
    </row>
    <row r="497" spans="10:20" ht="15.75" customHeight="1" x14ac:dyDescent="0.25">
      <c r="J497" s="23"/>
      <c r="K497" s="23"/>
      <c r="L497" s="23"/>
      <c r="M497" s="23"/>
      <c r="R497" s="23"/>
      <c r="S497" s="23"/>
      <c r="T497" s="23"/>
    </row>
    <row r="498" spans="10:20" ht="15.75" customHeight="1" x14ac:dyDescent="0.25">
      <c r="J498" s="23"/>
      <c r="K498" s="23"/>
      <c r="L498" s="23"/>
      <c r="M498" s="23"/>
      <c r="R498" s="23"/>
      <c r="S498" s="23"/>
      <c r="T498" s="23"/>
    </row>
    <row r="499" spans="10:20" ht="15.75" customHeight="1" x14ac:dyDescent="0.25">
      <c r="J499" s="23"/>
      <c r="K499" s="23"/>
      <c r="L499" s="23"/>
      <c r="M499" s="23"/>
      <c r="R499" s="23"/>
      <c r="S499" s="23"/>
      <c r="T499" s="23"/>
    </row>
    <row r="500" spans="10:20" ht="15.75" customHeight="1" x14ac:dyDescent="0.25">
      <c r="J500" s="23"/>
      <c r="K500" s="23"/>
      <c r="L500" s="23"/>
      <c r="M500" s="23"/>
      <c r="R500" s="23"/>
      <c r="S500" s="23"/>
      <c r="T500" s="23"/>
    </row>
    <row r="501" spans="10:20" ht="15.75" customHeight="1" x14ac:dyDescent="0.25">
      <c r="J501" s="23"/>
      <c r="K501" s="23"/>
      <c r="L501" s="23"/>
      <c r="M501" s="23"/>
      <c r="R501" s="23"/>
      <c r="S501" s="23"/>
      <c r="T501" s="23"/>
    </row>
    <row r="502" spans="10:20" ht="15.75" customHeight="1" x14ac:dyDescent="0.25">
      <c r="J502" s="23"/>
      <c r="K502" s="23"/>
      <c r="L502" s="23"/>
      <c r="M502" s="23"/>
      <c r="R502" s="23"/>
      <c r="S502" s="23"/>
      <c r="T502" s="23"/>
    </row>
    <row r="503" spans="10:20" ht="15.75" customHeight="1" x14ac:dyDescent="0.25">
      <c r="J503" s="23"/>
      <c r="K503" s="23"/>
      <c r="L503" s="23"/>
      <c r="M503" s="23"/>
      <c r="R503" s="23"/>
      <c r="S503" s="23"/>
      <c r="T503" s="23"/>
    </row>
    <row r="504" spans="10:20" ht="15.75" customHeight="1" x14ac:dyDescent="0.25">
      <c r="J504" s="23"/>
      <c r="K504" s="23"/>
      <c r="L504" s="23"/>
      <c r="M504" s="23"/>
      <c r="R504" s="23"/>
      <c r="S504" s="23"/>
      <c r="T504" s="23"/>
    </row>
    <row r="505" spans="10:20" ht="15.75" customHeight="1" x14ac:dyDescent="0.25">
      <c r="J505" s="23"/>
      <c r="K505" s="23"/>
      <c r="L505" s="23"/>
      <c r="M505" s="23"/>
      <c r="R505" s="23"/>
      <c r="S505" s="23"/>
      <c r="T505" s="23"/>
    </row>
    <row r="506" spans="10:20" ht="15.75" customHeight="1" x14ac:dyDescent="0.25">
      <c r="J506" s="23"/>
      <c r="K506" s="23"/>
      <c r="L506" s="23"/>
      <c r="M506" s="23"/>
      <c r="R506" s="23"/>
      <c r="S506" s="23"/>
      <c r="T506" s="23"/>
    </row>
    <row r="507" spans="10:20" ht="15.75" customHeight="1" x14ac:dyDescent="0.25">
      <c r="J507" s="23"/>
      <c r="K507" s="23"/>
      <c r="L507" s="23"/>
      <c r="M507" s="23"/>
      <c r="R507" s="23"/>
      <c r="S507" s="23"/>
      <c r="T507" s="23"/>
    </row>
    <row r="508" spans="10:20" ht="15.75" customHeight="1" x14ac:dyDescent="0.25">
      <c r="J508" s="23"/>
      <c r="K508" s="23"/>
      <c r="L508" s="23"/>
      <c r="M508" s="23"/>
      <c r="R508" s="23"/>
      <c r="S508" s="23"/>
      <c r="T508" s="23"/>
    </row>
    <row r="509" spans="10:20" ht="15.75" customHeight="1" x14ac:dyDescent="0.25">
      <c r="J509" s="23"/>
      <c r="K509" s="23"/>
      <c r="L509" s="23"/>
      <c r="M509" s="23"/>
      <c r="R509" s="23"/>
      <c r="S509" s="23"/>
      <c r="T509" s="23"/>
    </row>
    <row r="510" spans="10:20" ht="15.75" customHeight="1" x14ac:dyDescent="0.25">
      <c r="J510" s="23"/>
      <c r="K510" s="23"/>
      <c r="L510" s="23"/>
      <c r="M510" s="23"/>
      <c r="R510" s="23"/>
      <c r="S510" s="23"/>
      <c r="T510" s="23"/>
    </row>
    <row r="511" spans="10:20" ht="15.75" customHeight="1" x14ac:dyDescent="0.25">
      <c r="J511" s="23"/>
      <c r="K511" s="23"/>
      <c r="L511" s="23"/>
      <c r="M511" s="23"/>
      <c r="R511" s="23"/>
      <c r="S511" s="23"/>
      <c r="T511" s="23"/>
    </row>
    <row r="512" spans="10:20" ht="15.75" customHeight="1" x14ac:dyDescent="0.25">
      <c r="J512" s="23"/>
      <c r="K512" s="23"/>
      <c r="L512" s="23"/>
      <c r="M512" s="23"/>
      <c r="R512" s="23"/>
      <c r="S512" s="23"/>
      <c r="T512" s="23"/>
    </row>
    <row r="513" spans="10:20" ht="15.75" customHeight="1" x14ac:dyDescent="0.25">
      <c r="J513" s="23"/>
      <c r="K513" s="23"/>
      <c r="L513" s="23"/>
      <c r="M513" s="23"/>
      <c r="R513" s="23"/>
      <c r="S513" s="23"/>
      <c r="T513" s="23"/>
    </row>
    <row r="514" spans="10:20" ht="15.75" customHeight="1" x14ac:dyDescent="0.25">
      <c r="J514" s="23"/>
      <c r="K514" s="23"/>
      <c r="L514" s="23"/>
      <c r="M514" s="23"/>
      <c r="R514" s="23"/>
      <c r="S514" s="23"/>
      <c r="T514" s="23"/>
    </row>
    <row r="515" spans="10:20" ht="15.75" customHeight="1" x14ac:dyDescent="0.25">
      <c r="J515" s="23"/>
      <c r="K515" s="23"/>
      <c r="L515" s="23"/>
      <c r="M515" s="23"/>
      <c r="R515" s="23"/>
      <c r="S515" s="23"/>
      <c r="T515" s="23"/>
    </row>
    <row r="516" spans="10:20" ht="15.75" customHeight="1" x14ac:dyDescent="0.25">
      <c r="J516" s="23"/>
      <c r="K516" s="23"/>
      <c r="L516" s="23"/>
      <c r="M516" s="23"/>
      <c r="R516" s="23"/>
      <c r="S516" s="23"/>
      <c r="T516" s="23"/>
    </row>
    <row r="517" spans="10:20" ht="15.75" customHeight="1" x14ac:dyDescent="0.25">
      <c r="J517" s="23"/>
      <c r="K517" s="23"/>
      <c r="L517" s="23"/>
      <c r="M517" s="23"/>
      <c r="R517" s="23"/>
      <c r="S517" s="23"/>
      <c r="T517" s="23"/>
    </row>
    <row r="518" spans="10:20" ht="15.75" customHeight="1" x14ac:dyDescent="0.25">
      <c r="J518" s="23"/>
      <c r="K518" s="23"/>
      <c r="L518" s="23"/>
      <c r="M518" s="23"/>
      <c r="R518" s="23"/>
      <c r="S518" s="23"/>
      <c r="T518" s="23"/>
    </row>
    <row r="519" spans="10:20" ht="15.75" customHeight="1" x14ac:dyDescent="0.25">
      <c r="J519" s="23"/>
      <c r="K519" s="23"/>
      <c r="L519" s="23"/>
      <c r="M519" s="23"/>
      <c r="R519" s="23"/>
      <c r="S519" s="23"/>
      <c r="T519" s="23"/>
    </row>
    <row r="520" spans="10:20" ht="15.75" customHeight="1" x14ac:dyDescent="0.25">
      <c r="J520" s="23"/>
      <c r="K520" s="23"/>
      <c r="L520" s="23"/>
      <c r="M520" s="23"/>
      <c r="R520" s="23"/>
      <c r="S520" s="23"/>
      <c r="T520" s="23"/>
    </row>
    <row r="521" spans="10:20" ht="15.75" customHeight="1" x14ac:dyDescent="0.25">
      <c r="J521" s="23"/>
      <c r="K521" s="23"/>
      <c r="L521" s="23"/>
      <c r="M521" s="23"/>
      <c r="R521" s="23"/>
      <c r="S521" s="23"/>
      <c r="T521" s="23"/>
    </row>
    <row r="522" spans="10:20" ht="15.75" customHeight="1" x14ac:dyDescent="0.25">
      <c r="J522" s="23"/>
      <c r="K522" s="23"/>
      <c r="L522" s="23"/>
      <c r="M522" s="23"/>
      <c r="R522" s="23"/>
      <c r="S522" s="23"/>
      <c r="T522" s="23"/>
    </row>
    <row r="523" spans="10:20" ht="15.75" customHeight="1" x14ac:dyDescent="0.25">
      <c r="J523" s="23"/>
      <c r="K523" s="23"/>
      <c r="L523" s="23"/>
      <c r="M523" s="23"/>
      <c r="R523" s="23"/>
      <c r="S523" s="23"/>
      <c r="T523" s="23"/>
    </row>
    <row r="524" spans="10:20" ht="15.75" customHeight="1" x14ac:dyDescent="0.25">
      <c r="J524" s="23"/>
      <c r="K524" s="23"/>
      <c r="L524" s="23"/>
      <c r="M524" s="23"/>
      <c r="R524" s="23"/>
      <c r="S524" s="23"/>
      <c r="T524" s="23"/>
    </row>
    <row r="525" spans="10:20" ht="15.75" customHeight="1" x14ac:dyDescent="0.25">
      <c r="J525" s="23"/>
      <c r="K525" s="23"/>
      <c r="L525" s="23"/>
      <c r="M525" s="23"/>
      <c r="R525" s="23"/>
      <c r="S525" s="23"/>
      <c r="T525" s="23"/>
    </row>
    <row r="526" spans="10:20" ht="15.75" customHeight="1" x14ac:dyDescent="0.25">
      <c r="J526" s="23"/>
      <c r="K526" s="23"/>
      <c r="L526" s="23"/>
      <c r="M526" s="23"/>
      <c r="R526" s="23"/>
      <c r="S526" s="23"/>
      <c r="T526" s="23"/>
    </row>
    <row r="527" spans="10:20" ht="15.75" customHeight="1" x14ac:dyDescent="0.25">
      <c r="J527" s="23"/>
      <c r="K527" s="23"/>
      <c r="L527" s="23"/>
      <c r="M527" s="23"/>
      <c r="R527" s="23"/>
      <c r="S527" s="23"/>
      <c r="T527" s="23"/>
    </row>
    <row r="528" spans="10:20" ht="15.75" customHeight="1" x14ac:dyDescent="0.25">
      <c r="J528" s="23"/>
      <c r="K528" s="23"/>
      <c r="L528" s="23"/>
      <c r="M528" s="23"/>
      <c r="R528" s="23"/>
      <c r="S528" s="23"/>
      <c r="T528" s="23"/>
    </row>
    <row r="529" spans="10:20" ht="15.75" customHeight="1" x14ac:dyDescent="0.25">
      <c r="J529" s="23"/>
      <c r="K529" s="23"/>
      <c r="L529" s="23"/>
      <c r="M529" s="23"/>
      <c r="R529" s="23"/>
      <c r="S529" s="23"/>
      <c r="T529" s="23"/>
    </row>
    <row r="530" spans="10:20" ht="15.75" customHeight="1" x14ac:dyDescent="0.25">
      <c r="J530" s="23"/>
      <c r="K530" s="23"/>
      <c r="L530" s="23"/>
      <c r="M530" s="23"/>
      <c r="R530" s="23"/>
      <c r="S530" s="23"/>
      <c r="T530" s="23"/>
    </row>
    <row r="531" spans="10:20" ht="15.75" customHeight="1" x14ac:dyDescent="0.25">
      <c r="J531" s="23"/>
      <c r="K531" s="23"/>
      <c r="L531" s="23"/>
      <c r="M531" s="23"/>
      <c r="R531" s="23"/>
      <c r="S531" s="23"/>
      <c r="T531" s="23"/>
    </row>
    <row r="532" spans="10:20" ht="15.75" customHeight="1" x14ac:dyDescent="0.25">
      <c r="J532" s="23"/>
      <c r="K532" s="23"/>
      <c r="L532" s="23"/>
      <c r="M532" s="23"/>
      <c r="R532" s="23"/>
      <c r="S532" s="23"/>
      <c r="T532" s="23"/>
    </row>
    <row r="533" spans="10:20" ht="15.75" customHeight="1" x14ac:dyDescent="0.25">
      <c r="J533" s="23"/>
      <c r="K533" s="23"/>
      <c r="L533" s="23"/>
      <c r="M533" s="23"/>
      <c r="R533" s="23"/>
      <c r="S533" s="23"/>
      <c r="T533" s="23"/>
    </row>
    <row r="534" spans="10:20" ht="15.75" customHeight="1" x14ac:dyDescent="0.25">
      <c r="J534" s="23"/>
      <c r="K534" s="23"/>
      <c r="L534" s="23"/>
      <c r="M534" s="23"/>
      <c r="R534" s="23"/>
      <c r="S534" s="23"/>
      <c r="T534" s="23"/>
    </row>
    <row r="535" spans="10:20" ht="15.75" customHeight="1" x14ac:dyDescent="0.25">
      <c r="J535" s="23"/>
      <c r="K535" s="23"/>
      <c r="L535" s="23"/>
      <c r="M535" s="23"/>
      <c r="R535" s="23"/>
      <c r="S535" s="23"/>
      <c r="T535" s="23"/>
    </row>
    <row r="536" spans="10:20" ht="15.75" customHeight="1" x14ac:dyDescent="0.25">
      <c r="J536" s="23"/>
      <c r="K536" s="23"/>
      <c r="L536" s="23"/>
      <c r="M536" s="23"/>
      <c r="R536" s="23"/>
      <c r="S536" s="23"/>
      <c r="T536" s="23"/>
    </row>
    <row r="537" spans="10:20" ht="15.75" customHeight="1" x14ac:dyDescent="0.25">
      <c r="J537" s="23"/>
      <c r="K537" s="23"/>
      <c r="L537" s="23"/>
      <c r="M537" s="23"/>
      <c r="R537" s="23"/>
      <c r="S537" s="23"/>
      <c r="T537" s="23"/>
    </row>
    <row r="538" spans="10:20" ht="15.75" customHeight="1" x14ac:dyDescent="0.25">
      <c r="J538" s="23"/>
      <c r="K538" s="23"/>
      <c r="L538" s="23"/>
      <c r="M538" s="23"/>
      <c r="R538" s="23"/>
      <c r="S538" s="23"/>
      <c r="T538" s="23"/>
    </row>
    <row r="539" spans="10:20" ht="15.75" customHeight="1" x14ac:dyDescent="0.25">
      <c r="J539" s="23"/>
      <c r="K539" s="23"/>
      <c r="L539" s="23"/>
      <c r="M539" s="23"/>
      <c r="R539" s="23"/>
      <c r="S539" s="23"/>
      <c r="T539" s="23"/>
    </row>
    <row r="540" spans="10:20" ht="15.75" customHeight="1" x14ac:dyDescent="0.25">
      <c r="J540" s="23"/>
      <c r="K540" s="23"/>
      <c r="L540" s="23"/>
      <c r="M540" s="23"/>
      <c r="R540" s="23"/>
      <c r="S540" s="23"/>
      <c r="T540" s="23"/>
    </row>
    <row r="541" spans="10:20" ht="15.75" customHeight="1" x14ac:dyDescent="0.25">
      <c r="J541" s="23"/>
      <c r="K541" s="23"/>
      <c r="L541" s="23"/>
      <c r="M541" s="23"/>
      <c r="R541" s="23"/>
      <c r="S541" s="23"/>
      <c r="T541" s="23"/>
    </row>
    <row r="542" spans="10:20" ht="15.75" customHeight="1" x14ac:dyDescent="0.25">
      <c r="J542" s="23"/>
      <c r="K542" s="23"/>
      <c r="L542" s="23"/>
      <c r="M542" s="23"/>
      <c r="R542" s="23"/>
      <c r="S542" s="23"/>
      <c r="T542" s="23"/>
    </row>
    <row r="543" spans="10:20" ht="15.75" customHeight="1" x14ac:dyDescent="0.25">
      <c r="J543" s="23"/>
      <c r="K543" s="23"/>
      <c r="L543" s="23"/>
      <c r="M543" s="23"/>
      <c r="R543" s="23"/>
      <c r="S543" s="23"/>
      <c r="T543" s="23"/>
    </row>
    <row r="544" spans="10:20" ht="15.75" customHeight="1" x14ac:dyDescent="0.25">
      <c r="J544" s="23"/>
      <c r="K544" s="23"/>
      <c r="L544" s="23"/>
      <c r="M544" s="23"/>
      <c r="R544" s="23"/>
      <c r="S544" s="23"/>
      <c r="T544" s="23"/>
    </row>
    <row r="545" spans="10:20" ht="15.75" customHeight="1" x14ac:dyDescent="0.25">
      <c r="J545" s="23"/>
      <c r="K545" s="23"/>
      <c r="L545" s="23"/>
      <c r="M545" s="23"/>
      <c r="R545" s="23"/>
      <c r="S545" s="23"/>
      <c r="T545" s="23"/>
    </row>
    <row r="546" spans="10:20" ht="15.75" customHeight="1" x14ac:dyDescent="0.25">
      <c r="J546" s="23"/>
      <c r="K546" s="23"/>
      <c r="L546" s="23"/>
      <c r="M546" s="23"/>
      <c r="R546" s="23"/>
      <c r="S546" s="23"/>
      <c r="T546" s="23"/>
    </row>
    <row r="547" spans="10:20" ht="15.75" customHeight="1" x14ac:dyDescent="0.25">
      <c r="J547" s="23"/>
      <c r="K547" s="23"/>
      <c r="L547" s="23"/>
      <c r="M547" s="23"/>
      <c r="R547" s="23"/>
      <c r="S547" s="23"/>
      <c r="T547" s="23"/>
    </row>
    <row r="548" spans="10:20" ht="15.75" customHeight="1" x14ac:dyDescent="0.25">
      <c r="J548" s="23"/>
      <c r="K548" s="23"/>
      <c r="L548" s="23"/>
      <c r="M548" s="23"/>
      <c r="R548" s="23"/>
      <c r="S548" s="23"/>
      <c r="T548" s="23"/>
    </row>
    <row r="549" spans="10:20" ht="15.75" customHeight="1" x14ac:dyDescent="0.25">
      <c r="J549" s="23"/>
      <c r="K549" s="23"/>
      <c r="L549" s="23"/>
      <c r="M549" s="23"/>
      <c r="R549" s="23"/>
      <c r="S549" s="23"/>
      <c r="T549" s="23"/>
    </row>
    <row r="550" spans="10:20" ht="15.75" customHeight="1" x14ac:dyDescent="0.25">
      <c r="J550" s="23"/>
      <c r="K550" s="23"/>
      <c r="L550" s="23"/>
      <c r="M550" s="23"/>
      <c r="R550" s="23"/>
      <c r="S550" s="23"/>
      <c r="T550" s="23"/>
    </row>
    <row r="551" spans="10:20" ht="15.75" customHeight="1" x14ac:dyDescent="0.25">
      <c r="J551" s="23"/>
      <c r="K551" s="23"/>
      <c r="L551" s="23"/>
      <c r="M551" s="23"/>
      <c r="R551" s="23"/>
      <c r="S551" s="23"/>
      <c r="T551" s="23"/>
    </row>
    <row r="552" spans="10:20" ht="15.75" customHeight="1" x14ac:dyDescent="0.25">
      <c r="J552" s="23"/>
      <c r="K552" s="23"/>
      <c r="L552" s="23"/>
      <c r="M552" s="23"/>
      <c r="R552" s="23"/>
      <c r="S552" s="23"/>
      <c r="T552" s="23"/>
    </row>
    <row r="553" spans="10:20" ht="15.75" customHeight="1" x14ac:dyDescent="0.25">
      <c r="J553" s="23"/>
      <c r="K553" s="23"/>
      <c r="L553" s="23"/>
      <c r="M553" s="23"/>
      <c r="R553" s="23"/>
      <c r="S553" s="23"/>
      <c r="T553" s="23"/>
    </row>
    <row r="554" spans="10:20" ht="15.75" customHeight="1" x14ac:dyDescent="0.25">
      <c r="J554" s="23"/>
      <c r="K554" s="23"/>
      <c r="L554" s="23"/>
      <c r="M554" s="23"/>
      <c r="R554" s="23"/>
      <c r="S554" s="23"/>
      <c r="T554" s="23"/>
    </row>
    <row r="555" spans="10:20" ht="15.75" customHeight="1" x14ac:dyDescent="0.25">
      <c r="J555" s="23"/>
      <c r="K555" s="23"/>
      <c r="L555" s="23"/>
      <c r="M555" s="23"/>
      <c r="R555" s="23"/>
      <c r="S555" s="23"/>
      <c r="T555" s="23"/>
    </row>
    <row r="556" spans="10:20" ht="15.75" customHeight="1" x14ac:dyDescent="0.25">
      <c r="J556" s="23"/>
      <c r="K556" s="23"/>
      <c r="L556" s="23"/>
      <c r="M556" s="23"/>
      <c r="R556" s="23"/>
      <c r="S556" s="23"/>
      <c r="T556" s="23"/>
    </row>
    <row r="557" spans="10:20" ht="15.75" customHeight="1" x14ac:dyDescent="0.25">
      <c r="J557" s="23"/>
      <c r="K557" s="23"/>
      <c r="L557" s="23"/>
      <c r="M557" s="23"/>
      <c r="R557" s="23"/>
      <c r="S557" s="23"/>
      <c r="T557" s="23"/>
    </row>
    <row r="558" spans="10:20" ht="15.75" customHeight="1" x14ac:dyDescent="0.25">
      <c r="J558" s="23"/>
      <c r="K558" s="23"/>
      <c r="L558" s="23"/>
      <c r="M558" s="23"/>
      <c r="R558" s="23"/>
      <c r="S558" s="23"/>
      <c r="T558" s="23"/>
    </row>
    <row r="559" spans="10:20" ht="15.75" customHeight="1" x14ac:dyDescent="0.25">
      <c r="J559" s="23"/>
      <c r="K559" s="23"/>
      <c r="L559" s="23"/>
      <c r="M559" s="23"/>
      <c r="R559" s="23"/>
      <c r="S559" s="23"/>
      <c r="T559" s="23"/>
    </row>
    <row r="560" spans="10:20" ht="15.75" customHeight="1" x14ac:dyDescent="0.25">
      <c r="J560" s="23"/>
      <c r="K560" s="23"/>
      <c r="L560" s="23"/>
      <c r="M560" s="23"/>
      <c r="R560" s="23"/>
      <c r="S560" s="23"/>
      <c r="T560" s="23"/>
    </row>
    <row r="561" spans="10:20" ht="15.75" customHeight="1" x14ac:dyDescent="0.25">
      <c r="J561" s="23"/>
      <c r="K561" s="23"/>
      <c r="L561" s="23"/>
      <c r="M561" s="23"/>
      <c r="R561" s="23"/>
      <c r="S561" s="23"/>
      <c r="T561" s="23"/>
    </row>
    <row r="562" spans="10:20" ht="15.75" customHeight="1" x14ac:dyDescent="0.25">
      <c r="J562" s="23"/>
      <c r="K562" s="23"/>
      <c r="L562" s="23"/>
      <c r="M562" s="23"/>
      <c r="R562" s="23"/>
      <c r="S562" s="23"/>
      <c r="T562" s="23"/>
    </row>
    <row r="563" spans="10:20" ht="15.75" customHeight="1" x14ac:dyDescent="0.25">
      <c r="J563" s="23"/>
      <c r="K563" s="23"/>
      <c r="L563" s="23"/>
      <c r="M563" s="23"/>
      <c r="R563" s="23"/>
      <c r="S563" s="23"/>
      <c r="T563" s="23"/>
    </row>
    <row r="564" spans="10:20" ht="15.75" customHeight="1" x14ac:dyDescent="0.25">
      <c r="J564" s="23"/>
      <c r="K564" s="23"/>
      <c r="L564" s="23"/>
      <c r="M564" s="23"/>
      <c r="R564" s="23"/>
      <c r="S564" s="23"/>
      <c r="T564" s="23"/>
    </row>
    <row r="565" spans="10:20" ht="15.75" customHeight="1" x14ac:dyDescent="0.25">
      <c r="J565" s="23"/>
      <c r="K565" s="23"/>
      <c r="L565" s="23"/>
      <c r="M565" s="23"/>
      <c r="R565" s="23"/>
      <c r="S565" s="23"/>
      <c r="T565" s="23"/>
    </row>
    <row r="566" spans="10:20" ht="15.75" customHeight="1" x14ac:dyDescent="0.25">
      <c r="J566" s="23"/>
      <c r="K566" s="23"/>
      <c r="L566" s="23"/>
      <c r="M566" s="23"/>
      <c r="R566" s="23"/>
      <c r="S566" s="23"/>
      <c r="T566" s="23"/>
    </row>
    <row r="567" spans="10:20" ht="15.75" customHeight="1" x14ac:dyDescent="0.25">
      <c r="J567" s="23"/>
      <c r="K567" s="23"/>
      <c r="L567" s="23"/>
      <c r="M567" s="23"/>
      <c r="R567" s="23"/>
      <c r="S567" s="23"/>
      <c r="T567" s="23"/>
    </row>
    <row r="568" spans="10:20" ht="15.75" customHeight="1" x14ac:dyDescent="0.25">
      <c r="J568" s="23"/>
      <c r="K568" s="23"/>
      <c r="L568" s="23"/>
      <c r="M568" s="23"/>
      <c r="R568" s="23"/>
      <c r="S568" s="23"/>
      <c r="T568" s="23"/>
    </row>
    <row r="569" spans="10:20" ht="15.75" customHeight="1" x14ac:dyDescent="0.25">
      <c r="J569" s="23"/>
      <c r="K569" s="23"/>
      <c r="L569" s="23"/>
      <c r="M569" s="23"/>
      <c r="R569" s="23"/>
      <c r="S569" s="23"/>
      <c r="T569" s="23"/>
    </row>
    <row r="570" spans="10:20" ht="15.75" customHeight="1" x14ac:dyDescent="0.25">
      <c r="J570" s="23"/>
      <c r="K570" s="23"/>
      <c r="L570" s="23"/>
      <c r="M570" s="23"/>
      <c r="R570" s="23"/>
      <c r="S570" s="23"/>
      <c r="T570" s="23"/>
    </row>
    <row r="571" spans="10:20" ht="15.75" customHeight="1" x14ac:dyDescent="0.25">
      <c r="J571" s="23"/>
      <c r="K571" s="23"/>
      <c r="L571" s="23"/>
      <c r="M571" s="23"/>
      <c r="R571" s="23"/>
      <c r="S571" s="23"/>
      <c r="T571" s="23"/>
    </row>
    <row r="572" spans="10:20" ht="15.75" customHeight="1" x14ac:dyDescent="0.25">
      <c r="J572" s="23"/>
      <c r="K572" s="23"/>
      <c r="L572" s="23"/>
      <c r="M572" s="23"/>
      <c r="R572" s="23"/>
      <c r="S572" s="23"/>
      <c r="T572" s="23"/>
    </row>
    <row r="573" spans="10:20" ht="15.75" customHeight="1" x14ac:dyDescent="0.25">
      <c r="J573" s="23"/>
      <c r="K573" s="23"/>
      <c r="L573" s="23"/>
      <c r="M573" s="23"/>
      <c r="R573" s="23"/>
      <c r="S573" s="23"/>
      <c r="T573" s="23"/>
    </row>
    <row r="574" spans="10:20" ht="15.75" customHeight="1" x14ac:dyDescent="0.25">
      <c r="J574" s="23"/>
      <c r="K574" s="23"/>
      <c r="L574" s="23"/>
      <c r="M574" s="23"/>
      <c r="R574" s="23"/>
      <c r="S574" s="23"/>
      <c r="T574" s="23"/>
    </row>
    <row r="575" spans="10:20" ht="15.75" customHeight="1" x14ac:dyDescent="0.25">
      <c r="J575" s="23"/>
      <c r="K575" s="23"/>
      <c r="L575" s="23"/>
      <c r="M575" s="23"/>
      <c r="R575" s="23"/>
      <c r="S575" s="23"/>
      <c r="T575" s="23"/>
    </row>
    <row r="576" spans="10:20" ht="15.75" customHeight="1" x14ac:dyDescent="0.25">
      <c r="J576" s="23"/>
      <c r="K576" s="23"/>
      <c r="L576" s="23"/>
      <c r="M576" s="23"/>
      <c r="R576" s="23"/>
      <c r="S576" s="23"/>
      <c r="T576" s="23"/>
    </row>
    <row r="577" spans="10:20" ht="15.75" customHeight="1" x14ac:dyDescent="0.25">
      <c r="J577" s="23"/>
      <c r="K577" s="23"/>
      <c r="L577" s="23"/>
      <c r="M577" s="23"/>
      <c r="R577" s="23"/>
      <c r="S577" s="23"/>
      <c r="T577" s="23"/>
    </row>
    <row r="578" spans="10:20" ht="15.75" customHeight="1" x14ac:dyDescent="0.25">
      <c r="J578" s="23"/>
      <c r="K578" s="23"/>
      <c r="L578" s="23"/>
      <c r="M578" s="23"/>
      <c r="R578" s="23"/>
      <c r="S578" s="23"/>
      <c r="T578" s="23"/>
    </row>
    <row r="579" spans="10:20" ht="15.75" customHeight="1" x14ac:dyDescent="0.25">
      <c r="J579" s="23"/>
      <c r="K579" s="23"/>
      <c r="L579" s="23"/>
      <c r="M579" s="23"/>
      <c r="R579" s="23"/>
      <c r="S579" s="23"/>
      <c r="T579" s="23"/>
    </row>
    <row r="580" spans="10:20" ht="15.75" customHeight="1" x14ac:dyDescent="0.25">
      <c r="J580" s="23"/>
      <c r="K580" s="23"/>
      <c r="L580" s="23"/>
      <c r="M580" s="23"/>
      <c r="R580" s="23"/>
      <c r="S580" s="23"/>
      <c r="T580" s="23"/>
    </row>
    <row r="581" spans="10:20" ht="15.75" customHeight="1" x14ac:dyDescent="0.25">
      <c r="J581" s="23"/>
      <c r="K581" s="23"/>
      <c r="L581" s="23"/>
      <c r="M581" s="23"/>
      <c r="R581" s="23"/>
      <c r="S581" s="23"/>
      <c r="T581" s="23"/>
    </row>
    <row r="582" spans="10:20" ht="15.75" customHeight="1" x14ac:dyDescent="0.25">
      <c r="J582" s="23"/>
      <c r="K582" s="23"/>
      <c r="L582" s="23"/>
      <c r="M582" s="23"/>
      <c r="R582" s="23"/>
      <c r="S582" s="23"/>
      <c r="T582" s="23"/>
    </row>
    <row r="583" spans="10:20" ht="15.75" customHeight="1" x14ac:dyDescent="0.25">
      <c r="J583" s="23"/>
      <c r="K583" s="23"/>
      <c r="L583" s="23"/>
      <c r="M583" s="23"/>
      <c r="R583" s="23"/>
      <c r="S583" s="23"/>
      <c r="T583" s="23"/>
    </row>
    <row r="584" spans="10:20" ht="15.75" customHeight="1" x14ac:dyDescent="0.25">
      <c r="J584" s="23"/>
      <c r="K584" s="23"/>
      <c r="L584" s="23"/>
      <c r="M584" s="23"/>
      <c r="R584" s="23"/>
      <c r="S584" s="23"/>
      <c r="T584" s="23"/>
    </row>
    <row r="585" spans="10:20" ht="15.75" customHeight="1" x14ac:dyDescent="0.25">
      <c r="J585" s="23"/>
      <c r="K585" s="23"/>
      <c r="L585" s="23"/>
      <c r="M585" s="23"/>
      <c r="R585" s="23"/>
      <c r="S585" s="23"/>
      <c r="T585" s="23"/>
    </row>
    <row r="586" spans="10:20" ht="15.75" customHeight="1" x14ac:dyDescent="0.25">
      <c r="J586" s="23"/>
      <c r="K586" s="23"/>
      <c r="L586" s="23"/>
      <c r="M586" s="23"/>
      <c r="R586" s="23"/>
      <c r="S586" s="23"/>
      <c r="T586" s="23"/>
    </row>
    <row r="587" spans="10:20" ht="15.75" customHeight="1" x14ac:dyDescent="0.25">
      <c r="J587" s="23"/>
      <c r="K587" s="23"/>
      <c r="L587" s="23"/>
      <c r="M587" s="23"/>
      <c r="R587" s="23"/>
      <c r="S587" s="23"/>
      <c r="T587" s="23"/>
    </row>
    <row r="588" spans="10:20" ht="15.75" customHeight="1" x14ac:dyDescent="0.25">
      <c r="J588" s="23"/>
      <c r="K588" s="23"/>
      <c r="L588" s="23"/>
      <c r="M588" s="23"/>
      <c r="R588" s="23"/>
      <c r="S588" s="23"/>
      <c r="T588" s="23"/>
    </row>
    <row r="589" spans="10:20" ht="15.75" customHeight="1" x14ac:dyDescent="0.25">
      <c r="J589" s="23"/>
      <c r="K589" s="23"/>
      <c r="L589" s="23"/>
      <c r="M589" s="23"/>
      <c r="R589" s="23"/>
      <c r="S589" s="23"/>
      <c r="T589" s="23"/>
    </row>
    <row r="590" spans="10:20" ht="15.75" customHeight="1" x14ac:dyDescent="0.25">
      <c r="J590" s="23"/>
      <c r="K590" s="23"/>
      <c r="L590" s="23"/>
      <c r="M590" s="23"/>
      <c r="R590" s="23"/>
      <c r="S590" s="23"/>
      <c r="T590" s="23"/>
    </row>
    <row r="591" spans="10:20" ht="15.75" customHeight="1" x14ac:dyDescent="0.25">
      <c r="J591" s="23"/>
      <c r="K591" s="23"/>
      <c r="L591" s="23"/>
      <c r="M591" s="23"/>
      <c r="R591" s="23"/>
      <c r="S591" s="23"/>
      <c r="T591" s="23"/>
    </row>
    <row r="592" spans="10:20" ht="15.75" customHeight="1" x14ac:dyDescent="0.25">
      <c r="J592" s="23"/>
      <c r="K592" s="23"/>
      <c r="L592" s="23"/>
      <c r="M592" s="23"/>
      <c r="R592" s="23"/>
      <c r="S592" s="23"/>
      <c r="T592" s="23"/>
    </row>
    <row r="593" spans="10:20" ht="15.75" customHeight="1" x14ac:dyDescent="0.25">
      <c r="J593" s="23"/>
      <c r="K593" s="23"/>
      <c r="L593" s="23"/>
      <c r="M593" s="23"/>
      <c r="R593" s="23"/>
      <c r="S593" s="23"/>
      <c r="T593" s="23"/>
    </row>
    <row r="594" spans="10:20" ht="15.75" customHeight="1" x14ac:dyDescent="0.25">
      <c r="J594" s="23"/>
      <c r="K594" s="23"/>
      <c r="L594" s="23"/>
      <c r="M594" s="23"/>
      <c r="R594" s="23"/>
      <c r="S594" s="23"/>
      <c r="T594" s="23"/>
    </row>
    <row r="595" spans="10:20" ht="15.75" customHeight="1" x14ac:dyDescent="0.25">
      <c r="J595" s="23"/>
      <c r="K595" s="23"/>
      <c r="L595" s="23"/>
      <c r="M595" s="23"/>
      <c r="R595" s="23"/>
      <c r="S595" s="23"/>
      <c r="T595" s="23"/>
    </row>
    <row r="596" spans="10:20" ht="15.75" customHeight="1" x14ac:dyDescent="0.25">
      <c r="J596" s="23"/>
      <c r="K596" s="23"/>
      <c r="L596" s="23"/>
      <c r="M596" s="23"/>
      <c r="R596" s="23"/>
      <c r="S596" s="23"/>
      <c r="T596" s="23"/>
    </row>
    <row r="597" spans="10:20" ht="15.75" customHeight="1" x14ac:dyDescent="0.25">
      <c r="J597" s="23"/>
      <c r="K597" s="23"/>
      <c r="L597" s="23"/>
      <c r="M597" s="23"/>
      <c r="R597" s="23"/>
      <c r="S597" s="23"/>
      <c r="T597" s="23"/>
    </row>
    <row r="598" spans="10:20" ht="15.75" customHeight="1" x14ac:dyDescent="0.25">
      <c r="J598" s="23"/>
      <c r="K598" s="23"/>
      <c r="L598" s="23"/>
      <c r="M598" s="23"/>
      <c r="R598" s="23"/>
      <c r="S598" s="23"/>
      <c r="T598" s="23"/>
    </row>
    <row r="599" spans="10:20" ht="15.75" customHeight="1" x14ac:dyDescent="0.25">
      <c r="J599" s="23"/>
      <c r="K599" s="23"/>
      <c r="L599" s="23"/>
      <c r="M599" s="23"/>
      <c r="R599" s="23"/>
      <c r="S599" s="23"/>
      <c r="T599" s="23"/>
    </row>
    <row r="600" spans="10:20" ht="15.75" customHeight="1" x14ac:dyDescent="0.25">
      <c r="J600" s="23"/>
      <c r="K600" s="23"/>
      <c r="L600" s="23"/>
      <c r="M600" s="23"/>
      <c r="R600" s="23"/>
      <c r="S600" s="23"/>
      <c r="T600" s="23"/>
    </row>
    <row r="601" spans="10:20" ht="15.75" customHeight="1" x14ac:dyDescent="0.25">
      <c r="J601" s="23"/>
      <c r="K601" s="23"/>
      <c r="L601" s="23"/>
      <c r="M601" s="23"/>
      <c r="R601" s="23"/>
      <c r="S601" s="23"/>
      <c r="T601" s="23"/>
    </row>
    <row r="602" spans="10:20" ht="15.75" customHeight="1" x14ac:dyDescent="0.25">
      <c r="J602" s="23"/>
      <c r="K602" s="23"/>
      <c r="L602" s="23"/>
      <c r="M602" s="23"/>
      <c r="R602" s="23"/>
      <c r="S602" s="23"/>
      <c r="T602" s="23"/>
    </row>
    <row r="603" spans="10:20" ht="15.75" customHeight="1" x14ac:dyDescent="0.25">
      <c r="J603" s="23"/>
      <c r="K603" s="23"/>
      <c r="L603" s="23"/>
      <c r="M603" s="23"/>
      <c r="R603" s="23"/>
      <c r="S603" s="23"/>
      <c r="T603" s="23"/>
    </row>
    <row r="604" spans="10:20" ht="15.75" customHeight="1" x14ac:dyDescent="0.25">
      <c r="J604" s="23"/>
      <c r="K604" s="23"/>
      <c r="L604" s="23"/>
      <c r="M604" s="23"/>
      <c r="R604" s="23"/>
      <c r="S604" s="23"/>
      <c r="T604" s="23"/>
    </row>
    <row r="605" spans="10:20" ht="15.75" customHeight="1" x14ac:dyDescent="0.25">
      <c r="J605" s="23"/>
      <c r="K605" s="23"/>
      <c r="L605" s="23"/>
      <c r="M605" s="23"/>
      <c r="R605" s="23"/>
      <c r="S605" s="23"/>
      <c r="T605" s="23"/>
    </row>
    <row r="606" spans="10:20" ht="15.75" customHeight="1" x14ac:dyDescent="0.25">
      <c r="J606" s="23"/>
      <c r="K606" s="23"/>
      <c r="L606" s="23"/>
      <c r="M606" s="23"/>
      <c r="R606" s="23"/>
      <c r="S606" s="23"/>
      <c r="T606" s="23"/>
    </row>
    <row r="607" spans="10:20" ht="15.75" customHeight="1" x14ac:dyDescent="0.25">
      <c r="J607" s="23"/>
      <c r="K607" s="23"/>
      <c r="L607" s="23"/>
      <c r="M607" s="23"/>
      <c r="R607" s="23"/>
      <c r="S607" s="23"/>
      <c r="T607" s="23"/>
    </row>
    <row r="608" spans="10:20" ht="15.75" customHeight="1" x14ac:dyDescent="0.25">
      <c r="J608" s="23"/>
      <c r="K608" s="23"/>
      <c r="L608" s="23"/>
      <c r="M608" s="23"/>
      <c r="R608" s="23"/>
      <c r="S608" s="23"/>
      <c r="T608" s="23"/>
    </row>
    <row r="609" spans="10:20" ht="15.75" customHeight="1" x14ac:dyDescent="0.25">
      <c r="J609" s="23"/>
      <c r="K609" s="23"/>
      <c r="L609" s="23"/>
      <c r="M609" s="23"/>
      <c r="R609" s="23"/>
      <c r="S609" s="23"/>
      <c r="T609" s="23"/>
    </row>
    <row r="610" spans="10:20" ht="15.75" customHeight="1" x14ac:dyDescent="0.25">
      <c r="J610" s="23"/>
      <c r="K610" s="23"/>
      <c r="L610" s="23"/>
      <c r="M610" s="23"/>
      <c r="R610" s="23"/>
      <c r="S610" s="23"/>
      <c r="T610" s="23"/>
    </row>
    <row r="611" spans="10:20" ht="15.75" customHeight="1" x14ac:dyDescent="0.25">
      <c r="J611" s="23"/>
      <c r="K611" s="23"/>
      <c r="L611" s="23"/>
      <c r="M611" s="23"/>
      <c r="R611" s="23"/>
      <c r="S611" s="23"/>
      <c r="T611" s="23"/>
    </row>
    <row r="612" spans="10:20" ht="15.75" customHeight="1" x14ac:dyDescent="0.25">
      <c r="J612" s="23"/>
      <c r="K612" s="23"/>
      <c r="L612" s="23"/>
      <c r="M612" s="23"/>
      <c r="R612" s="23"/>
      <c r="S612" s="23"/>
      <c r="T612" s="23"/>
    </row>
    <row r="613" spans="10:20" ht="15.75" customHeight="1" x14ac:dyDescent="0.25">
      <c r="J613" s="23"/>
      <c r="K613" s="23"/>
      <c r="L613" s="23"/>
      <c r="M613" s="23"/>
      <c r="R613" s="23"/>
      <c r="S613" s="23"/>
      <c r="T613" s="23"/>
    </row>
    <row r="614" spans="10:20" ht="15.75" customHeight="1" x14ac:dyDescent="0.25">
      <c r="J614" s="23"/>
      <c r="K614" s="23"/>
      <c r="L614" s="23"/>
      <c r="M614" s="23"/>
      <c r="R614" s="23"/>
      <c r="S614" s="23"/>
      <c r="T614" s="23"/>
    </row>
    <row r="615" spans="10:20" ht="15.75" customHeight="1" x14ac:dyDescent="0.25">
      <c r="J615" s="23"/>
      <c r="K615" s="23"/>
      <c r="L615" s="23"/>
      <c r="M615" s="23"/>
      <c r="R615" s="23"/>
      <c r="S615" s="23"/>
      <c r="T615" s="23"/>
    </row>
    <row r="616" spans="10:20" ht="15.75" customHeight="1" x14ac:dyDescent="0.25">
      <c r="J616" s="23"/>
      <c r="K616" s="23"/>
      <c r="L616" s="23"/>
      <c r="M616" s="23"/>
      <c r="R616" s="23"/>
      <c r="S616" s="23"/>
      <c r="T616" s="23"/>
    </row>
    <row r="617" spans="10:20" ht="15.75" customHeight="1" x14ac:dyDescent="0.25">
      <c r="J617" s="23"/>
      <c r="K617" s="23"/>
      <c r="L617" s="23"/>
      <c r="M617" s="23"/>
      <c r="R617" s="23"/>
      <c r="S617" s="23"/>
      <c r="T617" s="23"/>
    </row>
    <row r="618" spans="10:20" ht="15.75" customHeight="1" x14ac:dyDescent="0.25">
      <c r="J618" s="23"/>
      <c r="K618" s="23"/>
      <c r="L618" s="23"/>
      <c r="M618" s="23"/>
      <c r="R618" s="23"/>
      <c r="S618" s="23"/>
      <c r="T618" s="23"/>
    </row>
    <row r="619" spans="10:20" ht="15.75" customHeight="1" x14ac:dyDescent="0.25">
      <c r="J619" s="23"/>
      <c r="K619" s="23"/>
      <c r="L619" s="23"/>
      <c r="M619" s="23"/>
      <c r="R619" s="23"/>
      <c r="S619" s="23"/>
      <c r="T619" s="23"/>
    </row>
    <row r="620" spans="10:20" ht="15.75" customHeight="1" x14ac:dyDescent="0.25">
      <c r="J620" s="23"/>
      <c r="K620" s="23"/>
      <c r="L620" s="23"/>
      <c r="M620" s="23"/>
      <c r="R620" s="23"/>
      <c r="S620" s="23"/>
      <c r="T620" s="23"/>
    </row>
    <row r="621" spans="10:20" ht="15.75" customHeight="1" x14ac:dyDescent="0.25">
      <c r="J621" s="23"/>
      <c r="K621" s="23"/>
      <c r="L621" s="23"/>
      <c r="M621" s="23"/>
      <c r="R621" s="23"/>
      <c r="S621" s="23"/>
      <c r="T621" s="23"/>
    </row>
    <row r="622" spans="10:20" ht="15.75" customHeight="1" x14ac:dyDescent="0.25">
      <c r="J622" s="23"/>
      <c r="K622" s="23"/>
      <c r="L622" s="23"/>
      <c r="M622" s="23"/>
      <c r="R622" s="23"/>
      <c r="S622" s="23"/>
      <c r="T622" s="23"/>
    </row>
    <row r="623" spans="10:20" ht="15.75" customHeight="1" x14ac:dyDescent="0.25">
      <c r="J623" s="23"/>
      <c r="K623" s="23"/>
      <c r="L623" s="23"/>
      <c r="M623" s="23"/>
      <c r="R623" s="23"/>
      <c r="S623" s="23"/>
      <c r="T623" s="23"/>
    </row>
    <row r="624" spans="10:20" ht="15.75" customHeight="1" x14ac:dyDescent="0.25">
      <c r="J624" s="23"/>
      <c r="K624" s="23"/>
      <c r="L624" s="23"/>
      <c r="M624" s="23"/>
      <c r="R624" s="23"/>
      <c r="S624" s="23"/>
      <c r="T624" s="23"/>
    </row>
    <row r="625" spans="10:20" ht="15.75" customHeight="1" x14ac:dyDescent="0.25">
      <c r="J625" s="23"/>
      <c r="K625" s="23"/>
      <c r="L625" s="23"/>
      <c r="M625" s="23"/>
      <c r="R625" s="23"/>
      <c r="S625" s="23"/>
      <c r="T625" s="23"/>
    </row>
    <row r="626" spans="10:20" ht="15.75" customHeight="1" x14ac:dyDescent="0.25">
      <c r="J626" s="23"/>
      <c r="K626" s="23"/>
      <c r="L626" s="23"/>
      <c r="M626" s="23"/>
      <c r="R626" s="23"/>
      <c r="S626" s="23"/>
      <c r="T626" s="23"/>
    </row>
    <row r="627" spans="10:20" ht="15.75" customHeight="1" x14ac:dyDescent="0.25">
      <c r="J627" s="23"/>
      <c r="K627" s="23"/>
      <c r="L627" s="23"/>
      <c r="M627" s="23"/>
      <c r="R627" s="23"/>
      <c r="S627" s="23"/>
      <c r="T627" s="23"/>
    </row>
    <row r="628" spans="10:20" ht="15.75" customHeight="1" x14ac:dyDescent="0.25">
      <c r="J628" s="23"/>
      <c r="K628" s="23"/>
      <c r="L628" s="23"/>
      <c r="M628" s="23"/>
      <c r="R628" s="23"/>
      <c r="S628" s="23"/>
      <c r="T628" s="23"/>
    </row>
    <row r="629" spans="10:20" ht="15.75" customHeight="1" x14ac:dyDescent="0.25">
      <c r="J629" s="23"/>
      <c r="K629" s="23"/>
      <c r="L629" s="23"/>
      <c r="M629" s="23"/>
      <c r="R629" s="23"/>
      <c r="S629" s="23"/>
      <c r="T629" s="23"/>
    </row>
    <row r="630" spans="10:20" ht="15.75" customHeight="1" x14ac:dyDescent="0.25">
      <c r="J630" s="23"/>
      <c r="K630" s="23"/>
      <c r="L630" s="23"/>
      <c r="M630" s="23"/>
      <c r="R630" s="23"/>
      <c r="S630" s="23"/>
      <c r="T630" s="23"/>
    </row>
    <row r="631" spans="10:20" ht="15.75" customHeight="1" x14ac:dyDescent="0.25">
      <c r="J631" s="23"/>
      <c r="K631" s="23"/>
      <c r="L631" s="23"/>
      <c r="M631" s="23"/>
      <c r="R631" s="23"/>
      <c r="S631" s="23"/>
      <c r="T631" s="23"/>
    </row>
    <row r="632" spans="10:20" ht="15.75" customHeight="1" x14ac:dyDescent="0.25">
      <c r="J632" s="23"/>
      <c r="K632" s="23"/>
      <c r="L632" s="23"/>
      <c r="M632" s="23"/>
      <c r="R632" s="23"/>
      <c r="S632" s="23"/>
      <c r="T632" s="23"/>
    </row>
    <row r="633" spans="10:20" ht="15.75" customHeight="1" x14ac:dyDescent="0.25">
      <c r="J633" s="23"/>
      <c r="K633" s="23"/>
      <c r="L633" s="23"/>
      <c r="M633" s="23"/>
      <c r="R633" s="23"/>
      <c r="S633" s="23"/>
      <c r="T633" s="23"/>
    </row>
    <row r="634" spans="10:20" ht="15.75" customHeight="1" x14ac:dyDescent="0.25">
      <c r="J634" s="23"/>
      <c r="K634" s="23"/>
      <c r="L634" s="23"/>
      <c r="M634" s="23"/>
      <c r="R634" s="23"/>
      <c r="S634" s="23"/>
      <c r="T634" s="23"/>
    </row>
    <row r="635" spans="10:20" ht="15.75" customHeight="1" x14ac:dyDescent="0.25">
      <c r="J635" s="23"/>
      <c r="K635" s="23"/>
      <c r="L635" s="23"/>
      <c r="M635" s="23"/>
      <c r="R635" s="23"/>
      <c r="S635" s="23"/>
      <c r="T635" s="23"/>
    </row>
    <row r="636" spans="10:20" ht="15.75" customHeight="1" x14ac:dyDescent="0.25">
      <c r="J636" s="23"/>
      <c r="K636" s="23"/>
      <c r="L636" s="23"/>
      <c r="M636" s="23"/>
      <c r="R636" s="23"/>
      <c r="S636" s="23"/>
      <c r="T636" s="23"/>
    </row>
    <row r="637" spans="10:20" ht="15.75" customHeight="1" x14ac:dyDescent="0.25">
      <c r="J637" s="23"/>
      <c r="K637" s="23"/>
      <c r="L637" s="23"/>
      <c r="M637" s="23"/>
      <c r="R637" s="23"/>
      <c r="S637" s="23"/>
      <c r="T637" s="23"/>
    </row>
    <row r="638" spans="10:20" ht="15.75" customHeight="1" x14ac:dyDescent="0.25">
      <c r="J638" s="23"/>
      <c r="K638" s="23"/>
      <c r="L638" s="23"/>
      <c r="M638" s="23"/>
      <c r="R638" s="23"/>
      <c r="S638" s="23"/>
      <c r="T638" s="23"/>
    </row>
    <row r="639" spans="10:20" ht="15.75" customHeight="1" x14ac:dyDescent="0.25">
      <c r="J639" s="23"/>
      <c r="K639" s="23"/>
      <c r="L639" s="23"/>
      <c r="M639" s="23"/>
      <c r="R639" s="23"/>
      <c r="S639" s="23"/>
      <c r="T639" s="23"/>
    </row>
    <row r="640" spans="10:20" ht="15.75" customHeight="1" x14ac:dyDescent="0.25">
      <c r="J640" s="23"/>
      <c r="K640" s="23"/>
      <c r="L640" s="23"/>
      <c r="M640" s="23"/>
      <c r="R640" s="23"/>
      <c r="S640" s="23"/>
      <c r="T640" s="23"/>
    </row>
    <row r="641" spans="10:20" ht="15.75" customHeight="1" x14ac:dyDescent="0.25">
      <c r="J641" s="23"/>
      <c r="K641" s="23"/>
      <c r="L641" s="23"/>
      <c r="M641" s="23"/>
      <c r="R641" s="23"/>
      <c r="S641" s="23"/>
      <c r="T641" s="23"/>
    </row>
    <row r="642" spans="10:20" ht="15.75" customHeight="1" x14ac:dyDescent="0.25">
      <c r="J642" s="23"/>
      <c r="K642" s="23"/>
      <c r="L642" s="23"/>
      <c r="M642" s="23"/>
      <c r="R642" s="23"/>
      <c r="S642" s="23"/>
      <c r="T642" s="23"/>
    </row>
    <row r="643" spans="10:20" ht="15.75" customHeight="1" x14ac:dyDescent="0.25">
      <c r="J643" s="23"/>
      <c r="K643" s="23"/>
      <c r="L643" s="23"/>
      <c r="M643" s="23"/>
      <c r="R643" s="23"/>
      <c r="S643" s="23"/>
      <c r="T643" s="23"/>
    </row>
    <row r="644" spans="10:20" ht="15.75" customHeight="1" x14ac:dyDescent="0.25">
      <c r="J644" s="23"/>
      <c r="K644" s="23"/>
      <c r="L644" s="23"/>
      <c r="M644" s="23"/>
      <c r="R644" s="23"/>
      <c r="S644" s="23"/>
      <c r="T644" s="23"/>
    </row>
    <row r="645" spans="10:20" ht="15.75" customHeight="1" x14ac:dyDescent="0.25">
      <c r="J645" s="23"/>
      <c r="K645" s="23"/>
      <c r="L645" s="23"/>
      <c r="M645" s="23"/>
      <c r="R645" s="23"/>
      <c r="S645" s="23"/>
      <c r="T645" s="23"/>
    </row>
    <row r="646" spans="10:20" ht="15.75" customHeight="1" x14ac:dyDescent="0.25">
      <c r="J646" s="23"/>
      <c r="K646" s="23"/>
      <c r="L646" s="23"/>
      <c r="M646" s="23"/>
      <c r="R646" s="23"/>
      <c r="S646" s="23"/>
      <c r="T646" s="23"/>
    </row>
    <row r="647" spans="10:20" ht="15.75" customHeight="1" x14ac:dyDescent="0.25">
      <c r="J647" s="23"/>
      <c r="K647" s="23"/>
      <c r="L647" s="23"/>
      <c r="M647" s="23"/>
      <c r="R647" s="23"/>
      <c r="S647" s="23"/>
      <c r="T647" s="23"/>
    </row>
    <row r="648" spans="10:20" ht="15.75" customHeight="1" x14ac:dyDescent="0.25">
      <c r="J648" s="23"/>
      <c r="K648" s="23"/>
      <c r="L648" s="23"/>
      <c r="M648" s="23"/>
      <c r="R648" s="23"/>
      <c r="S648" s="23"/>
      <c r="T648" s="23"/>
    </row>
    <row r="649" spans="10:20" ht="15.75" customHeight="1" x14ac:dyDescent="0.25">
      <c r="J649" s="23"/>
      <c r="K649" s="23"/>
      <c r="L649" s="23"/>
      <c r="M649" s="23"/>
      <c r="R649" s="23"/>
      <c r="S649" s="23"/>
      <c r="T649" s="23"/>
    </row>
    <row r="650" spans="10:20" ht="15.75" customHeight="1" x14ac:dyDescent="0.25">
      <c r="J650" s="23"/>
      <c r="K650" s="23"/>
      <c r="L650" s="23"/>
      <c r="M650" s="23"/>
      <c r="R650" s="23"/>
      <c r="S650" s="23"/>
      <c r="T650" s="23"/>
    </row>
    <row r="651" spans="10:20" ht="15.75" customHeight="1" x14ac:dyDescent="0.25">
      <c r="J651" s="23"/>
      <c r="K651" s="23"/>
      <c r="L651" s="23"/>
      <c r="M651" s="23"/>
      <c r="R651" s="23"/>
      <c r="S651" s="23"/>
      <c r="T651" s="23"/>
    </row>
    <row r="652" spans="10:20" ht="15.75" customHeight="1" x14ac:dyDescent="0.25">
      <c r="J652" s="23"/>
      <c r="K652" s="23"/>
      <c r="L652" s="23"/>
      <c r="M652" s="23"/>
      <c r="R652" s="23"/>
      <c r="S652" s="23"/>
      <c r="T652" s="23"/>
    </row>
    <row r="653" spans="10:20" ht="15.75" customHeight="1" x14ac:dyDescent="0.25">
      <c r="J653" s="23"/>
      <c r="K653" s="23"/>
      <c r="L653" s="23"/>
      <c r="M653" s="23"/>
      <c r="R653" s="23"/>
      <c r="S653" s="23"/>
      <c r="T653" s="23"/>
    </row>
    <row r="654" spans="10:20" ht="15.75" customHeight="1" x14ac:dyDescent="0.25">
      <c r="J654" s="23"/>
      <c r="K654" s="23"/>
      <c r="L654" s="23"/>
      <c r="M654" s="23"/>
      <c r="R654" s="23"/>
      <c r="S654" s="23"/>
      <c r="T654" s="23"/>
    </row>
    <row r="655" spans="10:20" ht="15.75" customHeight="1" x14ac:dyDescent="0.25">
      <c r="J655" s="23"/>
      <c r="K655" s="23"/>
      <c r="L655" s="23"/>
      <c r="M655" s="23"/>
      <c r="R655" s="23"/>
      <c r="S655" s="23"/>
      <c r="T655" s="23"/>
    </row>
    <row r="656" spans="10:20" ht="15.75" customHeight="1" x14ac:dyDescent="0.25">
      <c r="J656" s="23"/>
      <c r="K656" s="23"/>
      <c r="L656" s="23"/>
      <c r="M656" s="23"/>
      <c r="R656" s="23"/>
      <c r="S656" s="23"/>
      <c r="T656" s="23"/>
    </row>
    <row r="657" spans="10:20" ht="15.75" customHeight="1" x14ac:dyDescent="0.25">
      <c r="J657" s="23"/>
      <c r="K657" s="23"/>
      <c r="L657" s="23"/>
      <c r="M657" s="23"/>
      <c r="R657" s="23"/>
      <c r="S657" s="23"/>
      <c r="T657" s="23"/>
    </row>
    <row r="658" spans="10:20" ht="15.75" customHeight="1" x14ac:dyDescent="0.25">
      <c r="J658" s="23"/>
      <c r="K658" s="23"/>
      <c r="L658" s="23"/>
      <c r="M658" s="23"/>
      <c r="R658" s="23"/>
      <c r="S658" s="23"/>
      <c r="T658" s="23"/>
    </row>
    <row r="659" spans="10:20" ht="15.75" customHeight="1" x14ac:dyDescent="0.25">
      <c r="J659" s="23"/>
      <c r="K659" s="23"/>
      <c r="L659" s="23"/>
      <c r="M659" s="23"/>
      <c r="R659" s="23"/>
      <c r="S659" s="23"/>
      <c r="T659" s="23"/>
    </row>
    <row r="660" spans="10:20" ht="15.75" customHeight="1" x14ac:dyDescent="0.25">
      <c r="J660" s="23"/>
      <c r="K660" s="23"/>
      <c r="L660" s="23"/>
      <c r="M660" s="23"/>
      <c r="R660" s="23"/>
      <c r="S660" s="23"/>
      <c r="T660" s="23"/>
    </row>
    <row r="661" spans="10:20" ht="15.75" customHeight="1" x14ac:dyDescent="0.25">
      <c r="J661" s="23"/>
      <c r="K661" s="23"/>
      <c r="L661" s="23"/>
      <c r="M661" s="23"/>
      <c r="R661" s="23"/>
      <c r="S661" s="23"/>
      <c r="T661" s="23"/>
    </row>
    <row r="662" spans="10:20" ht="15.75" customHeight="1" x14ac:dyDescent="0.25">
      <c r="J662" s="23"/>
      <c r="K662" s="23"/>
      <c r="L662" s="23"/>
      <c r="M662" s="23"/>
      <c r="R662" s="23"/>
      <c r="S662" s="23"/>
      <c r="T662" s="23"/>
    </row>
    <row r="663" spans="10:20" ht="15.75" customHeight="1" x14ac:dyDescent="0.25">
      <c r="J663" s="23"/>
      <c r="K663" s="23"/>
      <c r="L663" s="23"/>
      <c r="M663" s="23"/>
      <c r="R663" s="23"/>
      <c r="S663" s="23"/>
      <c r="T663" s="23"/>
    </row>
    <row r="664" spans="10:20" ht="15.75" customHeight="1" x14ac:dyDescent="0.25">
      <c r="J664" s="23"/>
      <c r="K664" s="23"/>
      <c r="L664" s="23"/>
      <c r="M664" s="23"/>
      <c r="R664" s="23"/>
      <c r="S664" s="23"/>
      <c r="T664" s="23"/>
    </row>
    <row r="665" spans="10:20" ht="15.75" customHeight="1" x14ac:dyDescent="0.25">
      <c r="J665" s="23"/>
      <c r="K665" s="23"/>
      <c r="L665" s="23"/>
      <c r="M665" s="23"/>
      <c r="R665" s="23"/>
      <c r="S665" s="23"/>
      <c r="T665" s="23"/>
    </row>
    <row r="666" spans="10:20" ht="15.75" customHeight="1" x14ac:dyDescent="0.25">
      <c r="J666" s="23"/>
      <c r="K666" s="23"/>
      <c r="L666" s="23"/>
      <c r="M666" s="23"/>
      <c r="R666" s="23"/>
      <c r="S666" s="23"/>
      <c r="T666" s="23"/>
    </row>
    <row r="667" spans="10:20" ht="15.75" customHeight="1" x14ac:dyDescent="0.25">
      <c r="J667" s="23"/>
      <c r="K667" s="23"/>
      <c r="L667" s="23"/>
      <c r="M667" s="23"/>
      <c r="R667" s="23"/>
      <c r="S667" s="23"/>
      <c r="T667" s="23"/>
    </row>
    <row r="668" spans="10:20" ht="15.75" customHeight="1" x14ac:dyDescent="0.25">
      <c r="J668" s="23"/>
      <c r="K668" s="23"/>
      <c r="L668" s="23"/>
      <c r="M668" s="23"/>
      <c r="R668" s="23"/>
      <c r="S668" s="23"/>
      <c r="T668" s="23"/>
    </row>
    <row r="669" spans="10:20" ht="15.75" customHeight="1" x14ac:dyDescent="0.25">
      <c r="J669" s="23"/>
      <c r="K669" s="23"/>
      <c r="L669" s="23"/>
      <c r="M669" s="23"/>
      <c r="R669" s="23"/>
      <c r="S669" s="23"/>
      <c r="T669" s="23"/>
    </row>
    <row r="670" spans="10:20" ht="15.75" customHeight="1" x14ac:dyDescent="0.25">
      <c r="J670" s="23"/>
      <c r="K670" s="23"/>
      <c r="L670" s="23"/>
      <c r="M670" s="23"/>
      <c r="R670" s="23"/>
      <c r="S670" s="23"/>
      <c r="T670" s="23"/>
    </row>
    <row r="671" spans="10:20" ht="15.75" customHeight="1" x14ac:dyDescent="0.25">
      <c r="J671" s="23"/>
      <c r="K671" s="23"/>
      <c r="L671" s="23"/>
      <c r="M671" s="23"/>
      <c r="R671" s="23"/>
      <c r="S671" s="23"/>
      <c r="T671" s="23"/>
    </row>
    <row r="672" spans="10:20" ht="15.75" customHeight="1" x14ac:dyDescent="0.25">
      <c r="J672" s="23"/>
      <c r="K672" s="23"/>
      <c r="L672" s="23"/>
      <c r="M672" s="23"/>
      <c r="R672" s="23"/>
      <c r="S672" s="23"/>
      <c r="T672" s="23"/>
    </row>
    <row r="673" spans="10:20" ht="15.75" customHeight="1" x14ac:dyDescent="0.25">
      <c r="J673" s="23"/>
      <c r="K673" s="23"/>
      <c r="L673" s="23"/>
      <c r="M673" s="23"/>
      <c r="R673" s="23"/>
      <c r="S673" s="23"/>
      <c r="T673" s="23"/>
    </row>
    <row r="674" spans="10:20" ht="15.75" customHeight="1" x14ac:dyDescent="0.25">
      <c r="J674" s="23"/>
      <c r="K674" s="23"/>
      <c r="L674" s="23"/>
      <c r="M674" s="23"/>
      <c r="R674" s="23"/>
      <c r="S674" s="23"/>
      <c r="T674" s="23"/>
    </row>
    <row r="675" spans="10:20" ht="15.75" customHeight="1" x14ac:dyDescent="0.25">
      <c r="J675" s="23"/>
      <c r="K675" s="23"/>
      <c r="L675" s="23"/>
      <c r="M675" s="23"/>
      <c r="R675" s="23"/>
      <c r="S675" s="23"/>
      <c r="T675" s="23"/>
    </row>
    <row r="676" spans="10:20" ht="15.75" customHeight="1" x14ac:dyDescent="0.25">
      <c r="J676" s="23"/>
      <c r="K676" s="23"/>
      <c r="L676" s="23"/>
      <c r="M676" s="23"/>
      <c r="R676" s="23"/>
      <c r="S676" s="23"/>
      <c r="T676" s="23"/>
    </row>
    <row r="677" spans="10:20" ht="15.75" customHeight="1" x14ac:dyDescent="0.25">
      <c r="J677" s="23"/>
      <c r="K677" s="23"/>
      <c r="L677" s="23"/>
      <c r="M677" s="23"/>
      <c r="R677" s="23"/>
      <c r="S677" s="23"/>
      <c r="T677" s="23"/>
    </row>
    <row r="678" spans="10:20" ht="15.75" customHeight="1" x14ac:dyDescent="0.25">
      <c r="J678" s="23"/>
      <c r="K678" s="23"/>
      <c r="L678" s="23"/>
      <c r="M678" s="23"/>
      <c r="R678" s="23"/>
      <c r="S678" s="23"/>
      <c r="T678" s="23"/>
    </row>
    <row r="679" spans="10:20" ht="15.75" customHeight="1" x14ac:dyDescent="0.25">
      <c r="J679" s="23"/>
      <c r="K679" s="23"/>
      <c r="L679" s="23"/>
      <c r="M679" s="23"/>
      <c r="R679" s="23"/>
      <c r="S679" s="23"/>
      <c r="T679" s="23"/>
    </row>
    <row r="680" spans="10:20" ht="15.75" customHeight="1" x14ac:dyDescent="0.25">
      <c r="J680" s="23"/>
      <c r="K680" s="23"/>
      <c r="L680" s="23"/>
      <c r="M680" s="23"/>
      <c r="R680" s="23"/>
      <c r="S680" s="23"/>
      <c r="T680" s="23"/>
    </row>
    <row r="681" spans="10:20" ht="15.75" customHeight="1" x14ac:dyDescent="0.25">
      <c r="J681" s="23"/>
      <c r="K681" s="23"/>
      <c r="L681" s="23"/>
      <c r="M681" s="23"/>
      <c r="R681" s="23"/>
      <c r="S681" s="23"/>
      <c r="T681" s="23"/>
    </row>
    <row r="682" spans="10:20" ht="15.75" customHeight="1" x14ac:dyDescent="0.25">
      <c r="J682" s="23"/>
      <c r="K682" s="23"/>
      <c r="L682" s="23"/>
      <c r="M682" s="23"/>
      <c r="R682" s="23"/>
      <c r="S682" s="23"/>
      <c r="T682" s="23"/>
    </row>
    <row r="683" spans="10:20" ht="15.75" customHeight="1" x14ac:dyDescent="0.25">
      <c r="J683" s="23"/>
      <c r="K683" s="23"/>
      <c r="L683" s="23"/>
      <c r="M683" s="23"/>
      <c r="R683" s="23"/>
      <c r="S683" s="23"/>
      <c r="T683" s="23"/>
    </row>
    <row r="684" spans="10:20" ht="15.75" customHeight="1" x14ac:dyDescent="0.25">
      <c r="J684" s="23"/>
      <c r="K684" s="23"/>
      <c r="L684" s="23"/>
      <c r="M684" s="23"/>
      <c r="R684" s="23"/>
      <c r="S684" s="23"/>
      <c r="T684" s="23"/>
    </row>
    <row r="685" spans="10:20" ht="15.75" customHeight="1" x14ac:dyDescent="0.25">
      <c r="J685" s="23"/>
      <c r="K685" s="23"/>
      <c r="L685" s="23"/>
      <c r="M685" s="23"/>
      <c r="R685" s="23"/>
      <c r="S685" s="23"/>
      <c r="T685" s="23"/>
    </row>
    <row r="686" spans="10:20" ht="15.75" customHeight="1" x14ac:dyDescent="0.25">
      <c r="J686" s="23"/>
      <c r="K686" s="23"/>
      <c r="L686" s="23"/>
      <c r="M686" s="23"/>
      <c r="R686" s="23"/>
      <c r="S686" s="23"/>
      <c r="T686" s="23"/>
    </row>
    <row r="687" spans="10:20" ht="15.75" customHeight="1" x14ac:dyDescent="0.25">
      <c r="J687" s="23"/>
      <c r="K687" s="23"/>
      <c r="L687" s="23"/>
      <c r="M687" s="23"/>
      <c r="R687" s="23"/>
      <c r="S687" s="23"/>
      <c r="T687" s="23"/>
    </row>
    <row r="688" spans="10:20" ht="15.75" customHeight="1" x14ac:dyDescent="0.25">
      <c r="J688" s="23"/>
      <c r="K688" s="23"/>
      <c r="L688" s="23"/>
      <c r="M688" s="23"/>
      <c r="R688" s="23"/>
      <c r="S688" s="23"/>
      <c r="T688" s="23"/>
    </row>
    <row r="689" spans="10:20" ht="15.75" customHeight="1" x14ac:dyDescent="0.25">
      <c r="J689" s="23"/>
      <c r="K689" s="23"/>
      <c r="L689" s="23"/>
      <c r="M689" s="23"/>
      <c r="R689" s="23"/>
      <c r="S689" s="23"/>
      <c r="T689" s="23"/>
    </row>
    <row r="690" spans="10:20" ht="15.75" customHeight="1" x14ac:dyDescent="0.25">
      <c r="J690" s="23"/>
      <c r="K690" s="23"/>
      <c r="L690" s="23"/>
      <c r="M690" s="23"/>
      <c r="R690" s="23"/>
      <c r="S690" s="23"/>
      <c r="T690" s="23"/>
    </row>
    <row r="691" spans="10:20" ht="15.75" customHeight="1" x14ac:dyDescent="0.25">
      <c r="J691" s="23"/>
      <c r="K691" s="23"/>
      <c r="L691" s="23"/>
      <c r="M691" s="23"/>
      <c r="R691" s="23"/>
      <c r="S691" s="23"/>
      <c r="T691" s="23"/>
    </row>
    <row r="692" spans="10:20" ht="15.75" customHeight="1" x14ac:dyDescent="0.25">
      <c r="J692" s="23"/>
      <c r="K692" s="23"/>
      <c r="L692" s="23"/>
      <c r="M692" s="23"/>
      <c r="R692" s="23"/>
      <c r="S692" s="23"/>
      <c r="T692" s="23"/>
    </row>
    <row r="693" spans="10:20" ht="15.75" customHeight="1" x14ac:dyDescent="0.25">
      <c r="J693" s="23"/>
      <c r="K693" s="23"/>
      <c r="L693" s="23"/>
      <c r="M693" s="23"/>
      <c r="R693" s="23"/>
      <c r="S693" s="23"/>
      <c r="T693" s="23"/>
    </row>
    <row r="694" spans="10:20" ht="15.75" customHeight="1" x14ac:dyDescent="0.25">
      <c r="J694" s="23"/>
      <c r="K694" s="23"/>
      <c r="L694" s="23"/>
      <c r="M694" s="23"/>
      <c r="R694" s="23"/>
      <c r="S694" s="23"/>
      <c r="T694" s="23"/>
    </row>
    <row r="695" spans="10:20" ht="15.75" customHeight="1" x14ac:dyDescent="0.25">
      <c r="J695" s="23"/>
      <c r="K695" s="23"/>
      <c r="L695" s="23"/>
      <c r="M695" s="23"/>
      <c r="R695" s="23"/>
      <c r="S695" s="23"/>
      <c r="T695" s="23"/>
    </row>
    <row r="696" spans="10:20" ht="15.75" customHeight="1" x14ac:dyDescent="0.25">
      <c r="J696" s="23"/>
      <c r="K696" s="23"/>
      <c r="L696" s="23"/>
      <c r="M696" s="23"/>
      <c r="R696" s="23"/>
      <c r="S696" s="23"/>
      <c r="T696" s="23"/>
    </row>
    <row r="697" spans="10:20" ht="15.75" customHeight="1" x14ac:dyDescent="0.25">
      <c r="J697" s="23"/>
      <c r="K697" s="23"/>
      <c r="L697" s="23"/>
      <c r="M697" s="23"/>
      <c r="R697" s="23"/>
      <c r="S697" s="23"/>
      <c r="T697" s="23"/>
    </row>
    <row r="698" spans="10:20" ht="15.75" customHeight="1" x14ac:dyDescent="0.25">
      <c r="J698" s="23"/>
      <c r="K698" s="23"/>
      <c r="L698" s="23"/>
      <c r="M698" s="23"/>
      <c r="R698" s="23"/>
      <c r="S698" s="23"/>
      <c r="T698" s="23"/>
    </row>
    <row r="699" spans="10:20" ht="15.75" customHeight="1" x14ac:dyDescent="0.25">
      <c r="J699" s="23"/>
      <c r="K699" s="23"/>
      <c r="L699" s="23"/>
      <c r="M699" s="23"/>
      <c r="R699" s="23"/>
      <c r="S699" s="23"/>
      <c r="T699" s="23"/>
    </row>
    <row r="700" spans="10:20" ht="15.75" customHeight="1" x14ac:dyDescent="0.25">
      <c r="J700" s="23"/>
      <c r="K700" s="23"/>
      <c r="L700" s="23"/>
      <c r="M700" s="23"/>
      <c r="R700" s="23"/>
      <c r="S700" s="23"/>
      <c r="T700" s="23"/>
    </row>
    <row r="701" spans="10:20" ht="15.75" customHeight="1" x14ac:dyDescent="0.25">
      <c r="J701" s="23"/>
      <c r="K701" s="23"/>
      <c r="L701" s="23"/>
      <c r="M701" s="23"/>
      <c r="R701" s="23"/>
      <c r="S701" s="23"/>
      <c r="T701" s="23"/>
    </row>
    <row r="702" spans="10:20" ht="15.75" customHeight="1" x14ac:dyDescent="0.25">
      <c r="J702" s="23"/>
      <c r="K702" s="23"/>
      <c r="L702" s="23"/>
      <c r="M702" s="23"/>
      <c r="R702" s="23"/>
      <c r="S702" s="23"/>
      <c r="T702" s="23"/>
    </row>
    <row r="703" spans="10:20" ht="15.75" customHeight="1" x14ac:dyDescent="0.25">
      <c r="J703" s="23"/>
      <c r="K703" s="23"/>
      <c r="L703" s="23"/>
      <c r="M703" s="23"/>
      <c r="R703" s="23"/>
      <c r="S703" s="23"/>
      <c r="T703" s="23"/>
    </row>
    <row r="704" spans="10:20" ht="15.75" customHeight="1" x14ac:dyDescent="0.25">
      <c r="J704" s="23"/>
      <c r="K704" s="23"/>
      <c r="L704" s="23"/>
      <c r="M704" s="23"/>
      <c r="R704" s="23"/>
      <c r="S704" s="23"/>
      <c r="T704" s="23"/>
    </row>
    <row r="705" spans="10:20" ht="15.75" customHeight="1" x14ac:dyDescent="0.25">
      <c r="J705" s="23"/>
      <c r="K705" s="23"/>
      <c r="L705" s="23"/>
      <c r="M705" s="23"/>
      <c r="R705" s="23"/>
      <c r="S705" s="23"/>
      <c r="T705" s="23"/>
    </row>
    <row r="706" spans="10:20" ht="15.75" customHeight="1" x14ac:dyDescent="0.25">
      <c r="J706" s="23"/>
      <c r="K706" s="23"/>
      <c r="L706" s="23"/>
      <c r="M706" s="23"/>
      <c r="R706" s="23"/>
      <c r="S706" s="23"/>
      <c r="T706" s="23"/>
    </row>
    <row r="707" spans="10:20" ht="15.75" customHeight="1" x14ac:dyDescent="0.25">
      <c r="J707" s="23"/>
      <c r="K707" s="23"/>
      <c r="L707" s="23"/>
      <c r="M707" s="23"/>
      <c r="R707" s="23"/>
      <c r="S707" s="23"/>
      <c r="T707" s="23"/>
    </row>
    <row r="708" spans="10:20" ht="15.75" customHeight="1" x14ac:dyDescent="0.25">
      <c r="J708" s="23"/>
      <c r="K708" s="23"/>
      <c r="L708" s="23"/>
      <c r="M708" s="23"/>
      <c r="R708" s="23"/>
      <c r="S708" s="23"/>
      <c r="T708" s="23"/>
    </row>
    <row r="709" spans="10:20" ht="15.75" customHeight="1" x14ac:dyDescent="0.25">
      <c r="J709" s="23"/>
      <c r="K709" s="23"/>
      <c r="L709" s="23"/>
      <c r="M709" s="23"/>
      <c r="R709" s="23"/>
      <c r="S709" s="23"/>
      <c r="T709" s="23"/>
    </row>
    <row r="710" spans="10:20" ht="15.75" customHeight="1" x14ac:dyDescent="0.25">
      <c r="J710" s="23"/>
      <c r="K710" s="23"/>
      <c r="L710" s="23"/>
      <c r="M710" s="23"/>
      <c r="R710" s="23"/>
      <c r="S710" s="23"/>
      <c r="T710" s="23"/>
    </row>
    <row r="711" spans="10:20" ht="15.75" customHeight="1" x14ac:dyDescent="0.25">
      <c r="J711" s="23"/>
      <c r="K711" s="23"/>
      <c r="L711" s="23"/>
      <c r="M711" s="23"/>
      <c r="R711" s="23"/>
      <c r="S711" s="23"/>
      <c r="T711" s="23"/>
    </row>
    <row r="712" spans="10:20" ht="15.75" customHeight="1" x14ac:dyDescent="0.25">
      <c r="J712" s="23"/>
      <c r="K712" s="23"/>
      <c r="L712" s="23"/>
      <c r="M712" s="23"/>
      <c r="R712" s="23"/>
      <c r="S712" s="23"/>
      <c r="T712" s="23"/>
    </row>
    <row r="713" spans="10:20" ht="15.75" customHeight="1" x14ac:dyDescent="0.25">
      <c r="J713" s="23"/>
      <c r="K713" s="23"/>
      <c r="L713" s="23"/>
      <c r="M713" s="23"/>
      <c r="R713" s="23"/>
      <c r="S713" s="23"/>
      <c r="T713" s="23"/>
    </row>
    <row r="714" spans="10:20" ht="15.75" customHeight="1" x14ac:dyDescent="0.25">
      <c r="J714" s="23"/>
      <c r="K714" s="23"/>
      <c r="L714" s="23"/>
      <c r="M714" s="23"/>
      <c r="R714" s="23"/>
      <c r="S714" s="23"/>
      <c r="T714" s="23"/>
    </row>
    <row r="715" spans="10:20" ht="15.75" customHeight="1" x14ac:dyDescent="0.25">
      <c r="J715" s="23"/>
      <c r="K715" s="23"/>
      <c r="L715" s="23"/>
      <c r="M715" s="23"/>
      <c r="R715" s="23"/>
      <c r="S715" s="23"/>
      <c r="T715" s="23"/>
    </row>
    <row r="716" spans="10:20" ht="15.75" customHeight="1" x14ac:dyDescent="0.25">
      <c r="J716" s="23"/>
      <c r="K716" s="23"/>
      <c r="L716" s="23"/>
      <c r="M716" s="23"/>
      <c r="R716" s="23"/>
      <c r="S716" s="23"/>
      <c r="T716" s="23"/>
    </row>
    <row r="717" spans="10:20" ht="15.75" customHeight="1" x14ac:dyDescent="0.25">
      <c r="J717" s="23"/>
      <c r="K717" s="23"/>
      <c r="L717" s="23"/>
      <c r="M717" s="23"/>
      <c r="R717" s="23"/>
      <c r="S717" s="23"/>
      <c r="T717" s="23"/>
    </row>
    <row r="718" spans="10:20" ht="15.75" customHeight="1" x14ac:dyDescent="0.25">
      <c r="J718" s="23"/>
      <c r="K718" s="23"/>
      <c r="L718" s="23"/>
      <c r="M718" s="23"/>
      <c r="R718" s="23"/>
      <c r="S718" s="23"/>
      <c r="T718" s="23"/>
    </row>
    <row r="719" spans="10:20" ht="15.75" customHeight="1" x14ac:dyDescent="0.25">
      <c r="J719" s="23"/>
      <c r="K719" s="23"/>
      <c r="L719" s="23"/>
      <c r="M719" s="23"/>
      <c r="R719" s="23"/>
      <c r="S719" s="23"/>
      <c r="T719" s="23"/>
    </row>
    <row r="720" spans="10:20" ht="15.75" customHeight="1" x14ac:dyDescent="0.25">
      <c r="J720" s="23"/>
      <c r="K720" s="23"/>
      <c r="L720" s="23"/>
      <c r="M720" s="23"/>
      <c r="R720" s="23"/>
      <c r="S720" s="23"/>
      <c r="T720" s="23"/>
    </row>
    <row r="721" spans="10:20" ht="15.75" customHeight="1" x14ac:dyDescent="0.25">
      <c r="J721" s="23"/>
      <c r="K721" s="23"/>
      <c r="L721" s="23"/>
      <c r="M721" s="23"/>
      <c r="R721" s="23"/>
      <c r="S721" s="23"/>
      <c r="T721" s="23"/>
    </row>
    <row r="722" spans="10:20" ht="15.75" customHeight="1" x14ac:dyDescent="0.25">
      <c r="J722" s="23"/>
      <c r="K722" s="23"/>
      <c r="L722" s="23"/>
      <c r="M722" s="23"/>
      <c r="R722" s="23"/>
      <c r="S722" s="23"/>
      <c r="T722" s="23"/>
    </row>
    <row r="723" spans="10:20" ht="15.75" customHeight="1" x14ac:dyDescent="0.25">
      <c r="J723" s="23"/>
      <c r="K723" s="23"/>
      <c r="L723" s="23"/>
      <c r="M723" s="23"/>
      <c r="R723" s="23"/>
      <c r="S723" s="23"/>
      <c r="T723" s="23"/>
    </row>
    <row r="724" spans="10:20" ht="15.75" customHeight="1" x14ac:dyDescent="0.25">
      <c r="J724" s="23"/>
      <c r="K724" s="23"/>
      <c r="L724" s="23"/>
      <c r="M724" s="23"/>
      <c r="R724" s="23"/>
      <c r="S724" s="23"/>
      <c r="T724" s="23"/>
    </row>
    <row r="725" spans="10:20" ht="15.75" customHeight="1" x14ac:dyDescent="0.25">
      <c r="J725" s="23"/>
      <c r="K725" s="23"/>
      <c r="L725" s="23"/>
      <c r="M725" s="23"/>
      <c r="R725" s="23"/>
      <c r="S725" s="23"/>
      <c r="T725" s="23"/>
    </row>
    <row r="726" spans="10:20" ht="15.75" customHeight="1" x14ac:dyDescent="0.25">
      <c r="J726" s="23"/>
      <c r="K726" s="23"/>
      <c r="L726" s="23"/>
      <c r="M726" s="23"/>
      <c r="R726" s="23"/>
      <c r="S726" s="23"/>
      <c r="T726" s="23"/>
    </row>
    <row r="727" spans="10:20" ht="15.75" customHeight="1" x14ac:dyDescent="0.25">
      <c r="J727" s="23"/>
      <c r="K727" s="23"/>
      <c r="L727" s="23"/>
      <c r="M727" s="23"/>
      <c r="R727" s="23"/>
      <c r="S727" s="23"/>
      <c r="T727" s="23"/>
    </row>
    <row r="728" spans="10:20" ht="15.75" customHeight="1" x14ac:dyDescent="0.25">
      <c r="J728" s="23"/>
      <c r="K728" s="23"/>
      <c r="L728" s="23"/>
      <c r="M728" s="23"/>
      <c r="R728" s="23"/>
      <c r="S728" s="23"/>
      <c r="T728" s="23"/>
    </row>
    <row r="729" spans="10:20" ht="15.75" customHeight="1" x14ac:dyDescent="0.25">
      <c r="J729" s="23"/>
      <c r="K729" s="23"/>
      <c r="L729" s="23"/>
      <c r="M729" s="23"/>
      <c r="R729" s="23"/>
      <c r="S729" s="23"/>
      <c r="T729" s="23"/>
    </row>
    <row r="730" spans="10:20" ht="15.75" customHeight="1" x14ac:dyDescent="0.25">
      <c r="J730" s="23"/>
      <c r="K730" s="23"/>
      <c r="L730" s="23"/>
      <c r="M730" s="23"/>
      <c r="R730" s="23"/>
      <c r="S730" s="23"/>
      <c r="T730" s="23"/>
    </row>
    <row r="731" spans="10:20" ht="15.75" customHeight="1" x14ac:dyDescent="0.25">
      <c r="J731" s="23"/>
      <c r="K731" s="23"/>
      <c r="L731" s="23"/>
      <c r="M731" s="23"/>
      <c r="R731" s="23"/>
      <c r="S731" s="23"/>
      <c r="T731" s="23"/>
    </row>
    <row r="732" spans="10:20" ht="15.75" customHeight="1" x14ac:dyDescent="0.25">
      <c r="J732" s="23"/>
      <c r="K732" s="23"/>
      <c r="L732" s="23"/>
      <c r="M732" s="23"/>
      <c r="R732" s="23"/>
      <c r="S732" s="23"/>
      <c r="T732" s="23"/>
    </row>
    <row r="733" spans="10:20" ht="15.75" customHeight="1" x14ac:dyDescent="0.25">
      <c r="J733" s="23"/>
      <c r="K733" s="23"/>
      <c r="L733" s="23"/>
      <c r="M733" s="23"/>
      <c r="R733" s="23"/>
      <c r="S733" s="23"/>
      <c r="T733" s="23"/>
    </row>
    <row r="734" spans="10:20" ht="15.75" customHeight="1" x14ac:dyDescent="0.25">
      <c r="J734" s="23"/>
      <c r="K734" s="23"/>
      <c r="L734" s="23"/>
      <c r="M734" s="23"/>
      <c r="R734" s="23"/>
      <c r="S734" s="23"/>
      <c r="T734" s="23"/>
    </row>
    <row r="735" spans="10:20" ht="15.75" customHeight="1" x14ac:dyDescent="0.25">
      <c r="J735" s="23"/>
      <c r="K735" s="23"/>
      <c r="L735" s="23"/>
      <c r="M735" s="23"/>
      <c r="R735" s="23"/>
      <c r="S735" s="23"/>
      <c r="T735" s="23"/>
    </row>
    <row r="736" spans="10:20" ht="15.75" customHeight="1" x14ac:dyDescent="0.25">
      <c r="J736" s="23"/>
      <c r="K736" s="23"/>
      <c r="L736" s="23"/>
      <c r="M736" s="23"/>
      <c r="R736" s="23"/>
      <c r="S736" s="23"/>
      <c r="T736" s="23"/>
    </row>
    <row r="737" spans="10:20" ht="15.75" customHeight="1" x14ac:dyDescent="0.25">
      <c r="J737" s="23"/>
      <c r="K737" s="23"/>
      <c r="L737" s="23"/>
      <c r="M737" s="23"/>
      <c r="R737" s="23"/>
      <c r="S737" s="23"/>
      <c r="T737" s="23"/>
    </row>
    <row r="738" spans="10:20" ht="15.75" customHeight="1" x14ac:dyDescent="0.25">
      <c r="J738" s="23"/>
      <c r="K738" s="23"/>
      <c r="L738" s="23"/>
      <c r="M738" s="23"/>
      <c r="R738" s="23"/>
      <c r="S738" s="23"/>
      <c r="T738" s="23"/>
    </row>
    <row r="739" spans="10:20" ht="15.75" customHeight="1" x14ac:dyDescent="0.25">
      <c r="J739" s="23"/>
      <c r="K739" s="23"/>
      <c r="L739" s="23"/>
      <c r="M739" s="23"/>
      <c r="R739" s="23"/>
      <c r="S739" s="23"/>
      <c r="T739" s="23"/>
    </row>
    <row r="740" spans="10:20" ht="15.75" customHeight="1" x14ac:dyDescent="0.25">
      <c r="J740" s="23"/>
      <c r="K740" s="23"/>
      <c r="L740" s="23"/>
      <c r="M740" s="23"/>
      <c r="R740" s="23"/>
      <c r="S740" s="23"/>
      <c r="T740" s="23"/>
    </row>
    <row r="741" spans="10:20" ht="15.75" customHeight="1" x14ac:dyDescent="0.25">
      <c r="J741" s="23"/>
      <c r="K741" s="23"/>
      <c r="L741" s="23"/>
      <c r="M741" s="23"/>
      <c r="R741" s="23"/>
      <c r="S741" s="23"/>
      <c r="T741" s="23"/>
    </row>
    <row r="742" spans="10:20" ht="15.75" customHeight="1" x14ac:dyDescent="0.25">
      <c r="J742" s="23"/>
      <c r="K742" s="23"/>
      <c r="L742" s="23"/>
      <c r="M742" s="23"/>
      <c r="R742" s="23"/>
      <c r="S742" s="23"/>
      <c r="T742" s="23"/>
    </row>
    <row r="743" spans="10:20" ht="15.75" customHeight="1" x14ac:dyDescent="0.25">
      <c r="J743" s="23"/>
      <c r="K743" s="23"/>
      <c r="L743" s="23"/>
      <c r="M743" s="23"/>
      <c r="R743" s="23"/>
      <c r="S743" s="23"/>
      <c r="T743" s="23"/>
    </row>
    <row r="744" spans="10:20" ht="15.75" customHeight="1" x14ac:dyDescent="0.25">
      <c r="J744" s="23"/>
      <c r="K744" s="23"/>
      <c r="L744" s="23"/>
      <c r="M744" s="23"/>
      <c r="R744" s="23"/>
      <c r="S744" s="23"/>
      <c r="T744" s="23"/>
    </row>
    <row r="745" spans="10:20" ht="15.75" customHeight="1" x14ac:dyDescent="0.25">
      <c r="J745" s="23"/>
      <c r="K745" s="23"/>
      <c r="L745" s="23"/>
      <c r="M745" s="23"/>
      <c r="R745" s="23"/>
      <c r="S745" s="23"/>
      <c r="T745" s="23"/>
    </row>
    <row r="746" spans="10:20" ht="15.75" customHeight="1" x14ac:dyDescent="0.25">
      <c r="J746" s="23"/>
      <c r="K746" s="23"/>
      <c r="L746" s="23"/>
      <c r="M746" s="23"/>
      <c r="R746" s="23"/>
      <c r="S746" s="23"/>
      <c r="T746" s="23"/>
    </row>
    <row r="747" spans="10:20" ht="15.75" customHeight="1" x14ac:dyDescent="0.25">
      <c r="J747" s="23"/>
      <c r="K747" s="23"/>
      <c r="L747" s="23"/>
      <c r="M747" s="23"/>
      <c r="R747" s="23"/>
      <c r="S747" s="23"/>
      <c r="T747" s="23"/>
    </row>
    <row r="748" spans="10:20" ht="15.75" customHeight="1" x14ac:dyDescent="0.25">
      <c r="J748" s="23"/>
      <c r="K748" s="23"/>
      <c r="L748" s="23"/>
      <c r="M748" s="23"/>
      <c r="R748" s="23"/>
      <c r="S748" s="23"/>
      <c r="T748" s="23"/>
    </row>
    <row r="749" spans="10:20" ht="15.75" customHeight="1" x14ac:dyDescent="0.25">
      <c r="J749" s="23"/>
      <c r="K749" s="23"/>
      <c r="L749" s="23"/>
      <c r="M749" s="23"/>
      <c r="R749" s="23"/>
      <c r="S749" s="23"/>
      <c r="T749" s="23"/>
    </row>
    <row r="750" spans="10:20" ht="15.75" customHeight="1" x14ac:dyDescent="0.25">
      <c r="J750" s="23"/>
      <c r="K750" s="23"/>
      <c r="L750" s="23"/>
      <c r="M750" s="23"/>
      <c r="R750" s="23"/>
      <c r="S750" s="23"/>
      <c r="T750" s="23"/>
    </row>
    <row r="751" spans="10:20" ht="15.75" customHeight="1" x14ac:dyDescent="0.25">
      <c r="J751" s="23"/>
      <c r="K751" s="23"/>
      <c r="L751" s="23"/>
      <c r="M751" s="23"/>
      <c r="R751" s="23"/>
      <c r="S751" s="23"/>
      <c r="T751" s="23"/>
    </row>
    <row r="752" spans="10:20" ht="15.75" customHeight="1" x14ac:dyDescent="0.25">
      <c r="J752" s="23"/>
      <c r="K752" s="23"/>
      <c r="L752" s="23"/>
      <c r="M752" s="23"/>
      <c r="R752" s="23"/>
      <c r="S752" s="23"/>
      <c r="T752" s="23"/>
    </row>
    <row r="753" spans="10:20" ht="15.75" customHeight="1" x14ac:dyDescent="0.25">
      <c r="J753" s="23"/>
      <c r="K753" s="23"/>
      <c r="L753" s="23"/>
      <c r="M753" s="23"/>
      <c r="R753" s="23"/>
      <c r="S753" s="23"/>
      <c r="T753" s="23"/>
    </row>
    <row r="754" spans="10:20" ht="15.75" customHeight="1" x14ac:dyDescent="0.25">
      <c r="J754" s="23"/>
      <c r="K754" s="23"/>
      <c r="L754" s="23"/>
      <c r="M754" s="23"/>
      <c r="R754" s="23"/>
      <c r="S754" s="23"/>
      <c r="T754" s="23"/>
    </row>
    <row r="755" spans="10:20" ht="15.75" customHeight="1" x14ac:dyDescent="0.25">
      <c r="J755" s="23"/>
      <c r="K755" s="23"/>
      <c r="L755" s="23"/>
      <c r="M755" s="23"/>
      <c r="R755" s="23"/>
      <c r="S755" s="23"/>
      <c r="T755" s="23"/>
    </row>
    <row r="756" spans="10:20" ht="15.75" customHeight="1" x14ac:dyDescent="0.25">
      <c r="J756" s="23"/>
      <c r="K756" s="23"/>
      <c r="L756" s="23"/>
      <c r="M756" s="23"/>
      <c r="R756" s="23"/>
      <c r="S756" s="23"/>
      <c r="T756" s="23"/>
    </row>
    <row r="757" spans="10:20" ht="15.75" customHeight="1" x14ac:dyDescent="0.25">
      <c r="J757" s="23"/>
      <c r="K757" s="23"/>
      <c r="L757" s="23"/>
      <c r="M757" s="23"/>
      <c r="R757" s="23"/>
      <c r="S757" s="23"/>
      <c r="T757" s="23"/>
    </row>
    <row r="758" spans="10:20" ht="15.75" customHeight="1" x14ac:dyDescent="0.25">
      <c r="J758" s="23"/>
      <c r="K758" s="23"/>
      <c r="L758" s="23"/>
      <c r="M758" s="23"/>
      <c r="R758" s="23"/>
      <c r="S758" s="23"/>
      <c r="T758" s="23"/>
    </row>
    <row r="759" spans="10:20" ht="15.75" customHeight="1" x14ac:dyDescent="0.25">
      <c r="J759" s="23"/>
      <c r="K759" s="23"/>
      <c r="L759" s="23"/>
      <c r="M759" s="23"/>
      <c r="R759" s="23"/>
      <c r="S759" s="23"/>
      <c r="T759" s="23"/>
    </row>
    <row r="760" spans="10:20" ht="15.75" customHeight="1" x14ac:dyDescent="0.25">
      <c r="J760" s="23"/>
      <c r="K760" s="23"/>
      <c r="L760" s="23"/>
      <c r="M760" s="23"/>
      <c r="R760" s="23"/>
      <c r="S760" s="23"/>
      <c r="T760" s="23"/>
    </row>
    <row r="761" spans="10:20" ht="15.75" customHeight="1" x14ac:dyDescent="0.25">
      <c r="J761" s="23"/>
      <c r="K761" s="23"/>
      <c r="L761" s="23"/>
      <c r="M761" s="23"/>
      <c r="R761" s="23"/>
      <c r="S761" s="23"/>
      <c r="T761" s="23"/>
    </row>
    <row r="762" spans="10:20" ht="15.75" customHeight="1" x14ac:dyDescent="0.25">
      <c r="J762" s="23"/>
      <c r="K762" s="23"/>
      <c r="L762" s="23"/>
      <c r="M762" s="23"/>
      <c r="R762" s="23"/>
      <c r="S762" s="23"/>
      <c r="T762" s="23"/>
    </row>
    <row r="763" spans="10:20" ht="15.75" customHeight="1" x14ac:dyDescent="0.25">
      <c r="J763" s="23"/>
      <c r="K763" s="23"/>
      <c r="L763" s="23"/>
      <c r="M763" s="23"/>
      <c r="R763" s="23"/>
      <c r="S763" s="23"/>
      <c r="T763" s="23"/>
    </row>
    <row r="764" spans="10:20" ht="15.75" customHeight="1" x14ac:dyDescent="0.25">
      <c r="J764" s="23"/>
      <c r="K764" s="23"/>
      <c r="L764" s="23"/>
      <c r="M764" s="23"/>
      <c r="R764" s="23"/>
      <c r="S764" s="23"/>
      <c r="T764" s="23"/>
    </row>
    <row r="765" spans="10:20" ht="15.75" customHeight="1" x14ac:dyDescent="0.25">
      <c r="J765" s="23"/>
      <c r="K765" s="23"/>
      <c r="L765" s="23"/>
      <c r="M765" s="23"/>
      <c r="R765" s="23"/>
      <c r="S765" s="23"/>
      <c r="T765" s="23"/>
    </row>
    <row r="766" spans="10:20" ht="15.75" customHeight="1" x14ac:dyDescent="0.25">
      <c r="J766" s="23"/>
      <c r="K766" s="23"/>
      <c r="L766" s="23"/>
      <c r="M766" s="23"/>
      <c r="R766" s="23"/>
      <c r="S766" s="23"/>
      <c r="T766" s="23"/>
    </row>
    <row r="767" spans="10:20" ht="15.75" customHeight="1" x14ac:dyDescent="0.25">
      <c r="J767" s="23"/>
      <c r="K767" s="23"/>
      <c r="L767" s="23"/>
      <c r="M767" s="23"/>
      <c r="R767" s="23"/>
      <c r="S767" s="23"/>
      <c r="T767" s="23"/>
    </row>
    <row r="768" spans="10:20" ht="15.75" customHeight="1" x14ac:dyDescent="0.25">
      <c r="J768" s="23"/>
      <c r="K768" s="23"/>
      <c r="L768" s="23"/>
      <c r="M768" s="23"/>
      <c r="R768" s="23"/>
      <c r="S768" s="23"/>
      <c r="T768" s="23"/>
    </row>
    <row r="769" spans="10:20" ht="15.75" customHeight="1" x14ac:dyDescent="0.25">
      <c r="J769" s="23"/>
      <c r="K769" s="23"/>
      <c r="L769" s="23"/>
      <c r="M769" s="23"/>
      <c r="R769" s="23"/>
      <c r="S769" s="23"/>
      <c r="T769" s="23"/>
    </row>
    <row r="770" spans="10:20" ht="15.75" customHeight="1" x14ac:dyDescent="0.25">
      <c r="J770" s="23"/>
      <c r="K770" s="23"/>
      <c r="L770" s="23"/>
      <c r="M770" s="23"/>
      <c r="R770" s="23"/>
      <c r="S770" s="23"/>
      <c r="T770" s="23"/>
    </row>
    <row r="771" spans="10:20" ht="15.75" customHeight="1" x14ac:dyDescent="0.25">
      <c r="J771" s="23"/>
      <c r="K771" s="23"/>
      <c r="L771" s="23"/>
      <c r="M771" s="23"/>
      <c r="R771" s="23"/>
      <c r="S771" s="23"/>
      <c r="T771" s="23"/>
    </row>
    <row r="772" spans="10:20" ht="15.75" customHeight="1" x14ac:dyDescent="0.25">
      <c r="J772" s="23"/>
      <c r="K772" s="23"/>
      <c r="L772" s="23"/>
      <c r="M772" s="23"/>
      <c r="R772" s="23"/>
      <c r="S772" s="23"/>
      <c r="T772" s="23"/>
    </row>
    <row r="773" spans="10:20" ht="15.75" customHeight="1" x14ac:dyDescent="0.25">
      <c r="J773" s="23"/>
      <c r="K773" s="23"/>
      <c r="L773" s="23"/>
      <c r="M773" s="23"/>
      <c r="R773" s="23"/>
      <c r="S773" s="23"/>
      <c r="T773" s="23"/>
    </row>
    <row r="774" spans="10:20" ht="15.75" customHeight="1" x14ac:dyDescent="0.25">
      <c r="J774" s="23"/>
      <c r="K774" s="23"/>
      <c r="L774" s="23"/>
      <c r="M774" s="23"/>
      <c r="R774" s="23"/>
      <c r="S774" s="23"/>
      <c r="T774" s="23"/>
    </row>
    <row r="775" spans="10:20" ht="15.75" customHeight="1" x14ac:dyDescent="0.25">
      <c r="J775" s="23"/>
      <c r="K775" s="23"/>
      <c r="L775" s="23"/>
      <c r="M775" s="23"/>
      <c r="R775" s="23"/>
      <c r="S775" s="23"/>
      <c r="T775" s="23"/>
    </row>
    <row r="776" spans="10:20" ht="15.75" customHeight="1" x14ac:dyDescent="0.25">
      <c r="J776" s="23"/>
      <c r="K776" s="23"/>
      <c r="L776" s="23"/>
      <c r="M776" s="23"/>
      <c r="R776" s="23"/>
      <c r="S776" s="23"/>
      <c r="T776" s="23"/>
    </row>
    <row r="777" spans="10:20" ht="15.75" customHeight="1" x14ac:dyDescent="0.25">
      <c r="J777" s="23"/>
      <c r="K777" s="23"/>
      <c r="L777" s="23"/>
      <c r="M777" s="23"/>
      <c r="R777" s="23"/>
      <c r="S777" s="23"/>
      <c r="T777" s="23"/>
    </row>
    <row r="778" spans="10:20" ht="15.75" customHeight="1" x14ac:dyDescent="0.25">
      <c r="J778" s="23"/>
      <c r="K778" s="23"/>
      <c r="L778" s="23"/>
      <c r="M778" s="23"/>
      <c r="R778" s="23"/>
      <c r="S778" s="23"/>
      <c r="T778" s="23"/>
    </row>
    <row r="779" spans="10:20" ht="15.75" customHeight="1" x14ac:dyDescent="0.25">
      <c r="J779" s="23"/>
      <c r="K779" s="23"/>
      <c r="L779" s="23"/>
      <c r="M779" s="23"/>
      <c r="R779" s="23"/>
      <c r="S779" s="23"/>
      <c r="T779" s="23"/>
    </row>
    <row r="780" spans="10:20" ht="15.75" customHeight="1" x14ac:dyDescent="0.25">
      <c r="J780" s="23"/>
      <c r="K780" s="23"/>
      <c r="L780" s="23"/>
      <c r="M780" s="23"/>
      <c r="R780" s="23"/>
      <c r="S780" s="23"/>
      <c r="T780" s="23"/>
    </row>
    <row r="781" spans="10:20" ht="15.75" customHeight="1" x14ac:dyDescent="0.25">
      <c r="J781" s="23"/>
      <c r="K781" s="23"/>
      <c r="L781" s="23"/>
      <c r="M781" s="23"/>
      <c r="R781" s="23"/>
      <c r="S781" s="23"/>
      <c r="T781" s="23"/>
    </row>
    <row r="782" spans="10:20" ht="15.75" customHeight="1" x14ac:dyDescent="0.25">
      <c r="J782" s="23"/>
      <c r="K782" s="23"/>
      <c r="L782" s="23"/>
      <c r="M782" s="23"/>
      <c r="R782" s="23"/>
      <c r="S782" s="23"/>
      <c r="T782" s="23"/>
    </row>
    <row r="783" spans="10:20" ht="15.75" customHeight="1" x14ac:dyDescent="0.25">
      <c r="J783" s="23"/>
      <c r="K783" s="23"/>
      <c r="L783" s="23"/>
      <c r="M783" s="23"/>
      <c r="R783" s="23"/>
      <c r="S783" s="23"/>
      <c r="T783" s="23"/>
    </row>
    <row r="784" spans="10:20" ht="15.75" customHeight="1" x14ac:dyDescent="0.25">
      <c r="J784" s="23"/>
      <c r="K784" s="23"/>
      <c r="L784" s="23"/>
      <c r="M784" s="23"/>
      <c r="R784" s="23"/>
      <c r="S784" s="23"/>
      <c r="T784" s="23"/>
    </row>
    <row r="785" spans="10:20" ht="15.75" customHeight="1" x14ac:dyDescent="0.25">
      <c r="J785" s="23"/>
      <c r="K785" s="23"/>
      <c r="L785" s="23"/>
      <c r="M785" s="23"/>
      <c r="R785" s="23"/>
      <c r="S785" s="23"/>
      <c r="T785" s="23"/>
    </row>
    <row r="786" spans="10:20" ht="15.75" customHeight="1" x14ac:dyDescent="0.25">
      <c r="J786" s="23"/>
      <c r="K786" s="23"/>
      <c r="L786" s="23"/>
      <c r="M786" s="23"/>
      <c r="R786" s="23"/>
      <c r="S786" s="23"/>
      <c r="T786" s="23"/>
    </row>
    <row r="787" spans="10:20" ht="15.75" customHeight="1" x14ac:dyDescent="0.25">
      <c r="J787" s="23"/>
      <c r="K787" s="23"/>
      <c r="L787" s="23"/>
      <c r="M787" s="23"/>
      <c r="R787" s="23"/>
      <c r="S787" s="23"/>
      <c r="T787" s="23"/>
    </row>
    <row r="788" spans="10:20" ht="15.75" customHeight="1" x14ac:dyDescent="0.25">
      <c r="J788" s="23"/>
      <c r="K788" s="23"/>
      <c r="L788" s="23"/>
      <c r="M788" s="23"/>
      <c r="R788" s="23"/>
      <c r="S788" s="23"/>
      <c r="T788" s="23"/>
    </row>
    <row r="789" spans="10:20" ht="15.75" customHeight="1" x14ac:dyDescent="0.25">
      <c r="J789" s="23"/>
      <c r="K789" s="23"/>
      <c r="L789" s="23"/>
      <c r="M789" s="23"/>
      <c r="R789" s="23"/>
      <c r="S789" s="23"/>
      <c r="T789" s="23"/>
    </row>
    <row r="790" spans="10:20" ht="15.75" customHeight="1" x14ac:dyDescent="0.25">
      <c r="J790" s="23"/>
      <c r="K790" s="23"/>
      <c r="L790" s="23"/>
      <c r="M790" s="23"/>
      <c r="R790" s="23"/>
      <c r="S790" s="23"/>
      <c r="T790" s="23"/>
    </row>
    <row r="791" spans="10:20" ht="15.75" customHeight="1" x14ac:dyDescent="0.25">
      <c r="J791" s="23"/>
      <c r="K791" s="23"/>
      <c r="L791" s="23"/>
      <c r="M791" s="23"/>
      <c r="R791" s="23"/>
      <c r="S791" s="23"/>
      <c r="T791" s="23"/>
    </row>
    <row r="792" spans="10:20" ht="15.75" customHeight="1" x14ac:dyDescent="0.25">
      <c r="J792" s="23"/>
      <c r="K792" s="23"/>
      <c r="L792" s="23"/>
      <c r="M792" s="23"/>
      <c r="R792" s="23"/>
      <c r="S792" s="23"/>
      <c r="T792" s="23"/>
    </row>
    <row r="793" spans="10:20" ht="15.75" customHeight="1" x14ac:dyDescent="0.25">
      <c r="J793" s="23"/>
      <c r="K793" s="23"/>
      <c r="L793" s="23"/>
      <c r="M793" s="23"/>
      <c r="R793" s="23"/>
      <c r="S793" s="23"/>
      <c r="T793" s="23"/>
    </row>
    <row r="794" spans="10:20" ht="15.75" customHeight="1" x14ac:dyDescent="0.25">
      <c r="J794" s="23"/>
      <c r="K794" s="23"/>
      <c r="L794" s="23"/>
      <c r="M794" s="23"/>
      <c r="R794" s="23"/>
      <c r="S794" s="23"/>
      <c r="T794" s="23"/>
    </row>
    <row r="795" spans="10:20" ht="15.75" customHeight="1" x14ac:dyDescent="0.25">
      <c r="J795" s="23"/>
      <c r="K795" s="23"/>
      <c r="L795" s="23"/>
      <c r="M795" s="23"/>
      <c r="R795" s="23"/>
      <c r="S795" s="23"/>
      <c r="T795" s="23"/>
    </row>
    <row r="796" spans="10:20" ht="15.75" customHeight="1" x14ac:dyDescent="0.25">
      <c r="J796" s="23"/>
      <c r="K796" s="23"/>
      <c r="L796" s="23"/>
      <c r="M796" s="23"/>
      <c r="R796" s="23"/>
      <c r="S796" s="23"/>
      <c r="T796" s="23"/>
    </row>
    <row r="797" spans="10:20" ht="15.75" customHeight="1" x14ac:dyDescent="0.25">
      <c r="J797" s="23"/>
      <c r="K797" s="23"/>
      <c r="L797" s="23"/>
      <c r="M797" s="23"/>
      <c r="R797" s="23"/>
      <c r="S797" s="23"/>
      <c r="T797" s="23"/>
    </row>
    <row r="798" spans="10:20" ht="15.75" customHeight="1" x14ac:dyDescent="0.25">
      <c r="J798" s="23"/>
      <c r="K798" s="23"/>
      <c r="L798" s="23"/>
      <c r="M798" s="23"/>
      <c r="R798" s="23"/>
      <c r="S798" s="23"/>
      <c r="T798" s="23"/>
    </row>
    <row r="799" spans="10:20" ht="15.75" customHeight="1" x14ac:dyDescent="0.25">
      <c r="J799" s="23"/>
      <c r="K799" s="23"/>
      <c r="L799" s="23"/>
      <c r="M799" s="23"/>
      <c r="R799" s="23"/>
      <c r="S799" s="23"/>
      <c r="T799" s="23"/>
    </row>
    <row r="800" spans="10:20" ht="15.75" customHeight="1" x14ac:dyDescent="0.25">
      <c r="J800" s="23"/>
      <c r="K800" s="23"/>
      <c r="L800" s="23"/>
      <c r="M800" s="23"/>
      <c r="R800" s="23"/>
      <c r="S800" s="23"/>
      <c r="T800" s="23"/>
    </row>
    <row r="801" spans="10:20" ht="15.75" customHeight="1" x14ac:dyDescent="0.25">
      <c r="J801" s="23"/>
      <c r="K801" s="23"/>
      <c r="L801" s="23"/>
      <c r="M801" s="23"/>
      <c r="R801" s="23"/>
      <c r="S801" s="23"/>
      <c r="T801" s="23"/>
    </row>
    <row r="802" spans="10:20" ht="15.75" customHeight="1" x14ac:dyDescent="0.25">
      <c r="J802" s="23"/>
      <c r="K802" s="23"/>
      <c r="L802" s="23"/>
      <c r="M802" s="23"/>
      <c r="R802" s="23"/>
      <c r="S802" s="23"/>
      <c r="T802" s="23"/>
    </row>
    <row r="803" spans="10:20" ht="15.75" customHeight="1" x14ac:dyDescent="0.25">
      <c r="J803" s="23"/>
      <c r="K803" s="23"/>
      <c r="L803" s="23"/>
      <c r="M803" s="23"/>
      <c r="R803" s="23"/>
      <c r="S803" s="23"/>
      <c r="T803" s="23"/>
    </row>
    <row r="804" spans="10:20" ht="15.75" customHeight="1" x14ac:dyDescent="0.25">
      <c r="J804" s="23"/>
      <c r="K804" s="23"/>
      <c r="L804" s="23"/>
      <c r="M804" s="23"/>
      <c r="R804" s="23"/>
      <c r="S804" s="23"/>
      <c r="T804" s="23"/>
    </row>
    <row r="805" spans="10:20" ht="15.75" customHeight="1" x14ac:dyDescent="0.25">
      <c r="J805" s="23"/>
      <c r="K805" s="23"/>
      <c r="L805" s="23"/>
      <c r="M805" s="23"/>
      <c r="R805" s="23"/>
      <c r="S805" s="23"/>
      <c r="T805" s="23"/>
    </row>
    <row r="806" spans="10:20" ht="15.75" customHeight="1" x14ac:dyDescent="0.25">
      <c r="J806" s="23"/>
      <c r="K806" s="23"/>
      <c r="L806" s="23"/>
      <c r="M806" s="23"/>
      <c r="R806" s="23"/>
      <c r="S806" s="23"/>
      <c r="T806" s="23"/>
    </row>
    <row r="807" spans="10:20" ht="15.75" customHeight="1" x14ac:dyDescent="0.25">
      <c r="J807" s="23"/>
      <c r="K807" s="23"/>
      <c r="L807" s="23"/>
      <c r="M807" s="23"/>
      <c r="R807" s="23"/>
      <c r="S807" s="23"/>
      <c r="T807" s="23"/>
    </row>
    <row r="808" spans="10:20" ht="15.75" customHeight="1" x14ac:dyDescent="0.25">
      <c r="J808" s="23"/>
      <c r="K808" s="23"/>
      <c r="L808" s="23"/>
      <c r="M808" s="23"/>
      <c r="R808" s="23"/>
      <c r="S808" s="23"/>
      <c r="T808" s="23"/>
    </row>
    <row r="809" spans="10:20" ht="15.75" customHeight="1" x14ac:dyDescent="0.25">
      <c r="J809" s="23"/>
      <c r="K809" s="23"/>
      <c r="L809" s="23"/>
      <c r="M809" s="23"/>
      <c r="R809" s="23"/>
      <c r="S809" s="23"/>
      <c r="T809" s="23"/>
    </row>
    <row r="810" spans="10:20" ht="15.75" customHeight="1" x14ac:dyDescent="0.25">
      <c r="J810" s="23"/>
      <c r="K810" s="23"/>
      <c r="L810" s="23"/>
      <c r="M810" s="23"/>
      <c r="R810" s="23"/>
      <c r="S810" s="23"/>
      <c r="T810" s="23"/>
    </row>
    <row r="811" spans="10:20" ht="15.75" customHeight="1" x14ac:dyDescent="0.25">
      <c r="J811" s="23"/>
      <c r="K811" s="23"/>
      <c r="L811" s="23"/>
      <c r="M811" s="23"/>
      <c r="R811" s="23"/>
      <c r="S811" s="23"/>
      <c r="T811" s="23"/>
    </row>
    <row r="812" spans="10:20" ht="15.75" customHeight="1" x14ac:dyDescent="0.25">
      <c r="J812" s="23"/>
      <c r="K812" s="23"/>
      <c r="L812" s="23"/>
      <c r="M812" s="23"/>
      <c r="R812" s="23"/>
      <c r="S812" s="23"/>
      <c r="T812" s="23"/>
    </row>
    <row r="813" spans="10:20" ht="15.75" customHeight="1" x14ac:dyDescent="0.25">
      <c r="J813" s="23"/>
      <c r="K813" s="23"/>
      <c r="L813" s="23"/>
      <c r="M813" s="23"/>
      <c r="R813" s="23"/>
      <c r="S813" s="23"/>
      <c r="T813" s="23"/>
    </row>
    <row r="814" spans="10:20" ht="15.75" customHeight="1" x14ac:dyDescent="0.25">
      <c r="J814" s="23"/>
      <c r="K814" s="23"/>
      <c r="L814" s="23"/>
      <c r="M814" s="23"/>
      <c r="R814" s="23"/>
      <c r="S814" s="23"/>
      <c r="T814" s="23"/>
    </row>
    <row r="815" spans="10:20" ht="15.75" customHeight="1" x14ac:dyDescent="0.25">
      <c r="J815" s="23"/>
      <c r="K815" s="23"/>
      <c r="L815" s="23"/>
      <c r="M815" s="23"/>
      <c r="R815" s="23"/>
      <c r="S815" s="23"/>
      <c r="T815" s="23"/>
    </row>
    <row r="816" spans="10:20" ht="15.75" customHeight="1" x14ac:dyDescent="0.25">
      <c r="J816" s="23"/>
      <c r="K816" s="23"/>
      <c r="L816" s="23"/>
      <c r="M816" s="23"/>
      <c r="R816" s="23"/>
      <c r="S816" s="23"/>
      <c r="T816" s="23"/>
    </row>
    <row r="817" spans="10:20" ht="15.75" customHeight="1" x14ac:dyDescent="0.25">
      <c r="J817" s="23"/>
      <c r="K817" s="23"/>
      <c r="L817" s="23"/>
      <c r="M817" s="23"/>
      <c r="R817" s="23"/>
      <c r="S817" s="23"/>
      <c r="T817" s="23"/>
    </row>
    <row r="818" spans="10:20" ht="15.75" customHeight="1" x14ac:dyDescent="0.25">
      <c r="J818" s="23"/>
      <c r="K818" s="23"/>
      <c r="L818" s="23"/>
      <c r="M818" s="23"/>
      <c r="R818" s="23"/>
      <c r="S818" s="23"/>
      <c r="T818" s="23"/>
    </row>
    <row r="819" spans="10:20" ht="15.75" customHeight="1" x14ac:dyDescent="0.25">
      <c r="J819" s="23"/>
      <c r="K819" s="23"/>
      <c r="L819" s="23"/>
      <c r="M819" s="23"/>
      <c r="R819" s="23"/>
      <c r="S819" s="23"/>
      <c r="T819" s="23"/>
    </row>
    <row r="820" spans="10:20" ht="15.75" customHeight="1" x14ac:dyDescent="0.25">
      <c r="J820" s="23"/>
      <c r="K820" s="23"/>
      <c r="L820" s="23"/>
      <c r="M820" s="23"/>
      <c r="R820" s="23"/>
      <c r="S820" s="23"/>
      <c r="T820" s="23"/>
    </row>
    <row r="821" spans="10:20" ht="15.75" customHeight="1" x14ac:dyDescent="0.25">
      <c r="J821" s="23"/>
      <c r="K821" s="23"/>
      <c r="L821" s="23"/>
      <c r="M821" s="23"/>
      <c r="R821" s="23"/>
      <c r="S821" s="23"/>
      <c r="T821" s="23"/>
    </row>
    <row r="822" spans="10:20" ht="15.75" customHeight="1" x14ac:dyDescent="0.25">
      <c r="J822" s="23"/>
      <c r="K822" s="23"/>
      <c r="L822" s="23"/>
      <c r="M822" s="23"/>
      <c r="R822" s="23"/>
      <c r="S822" s="23"/>
      <c r="T822" s="23"/>
    </row>
    <row r="823" spans="10:20" ht="15.75" customHeight="1" x14ac:dyDescent="0.25">
      <c r="J823" s="23"/>
      <c r="K823" s="23"/>
      <c r="L823" s="23"/>
      <c r="M823" s="23"/>
      <c r="R823" s="23"/>
      <c r="S823" s="23"/>
      <c r="T823" s="23"/>
    </row>
    <row r="824" spans="10:20" ht="15.75" customHeight="1" x14ac:dyDescent="0.25">
      <c r="J824" s="23"/>
      <c r="K824" s="23"/>
      <c r="L824" s="23"/>
      <c r="M824" s="23"/>
      <c r="R824" s="23"/>
      <c r="S824" s="23"/>
      <c r="T824" s="23"/>
    </row>
    <row r="825" spans="10:20" ht="15.75" customHeight="1" x14ac:dyDescent="0.25">
      <c r="J825" s="23"/>
      <c r="K825" s="23"/>
      <c r="L825" s="23"/>
      <c r="M825" s="23"/>
      <c r="R825" s="23"/>
      <c r="S825" s="23"/>
      <c r="T825" s="23"/>
    </row>
    <row r="826" spans="10:20" ht="15.75" customHeight="1" x14ac:dyDescent="0.25">
      <c r="J826" s="23"/>
      <c r="K826" s="23"/>
      <c r="L826" s="23"/>
      <c r="M826" s="23"/>
      <c r="R826" s="23"/>
      <c r="S826" s="23"/>
      <c r="T826" s="23"/>
    </row>
    <row r="827" spans="10:20" ht="15.75" customHeight="1" x14ac:dyDescent="0.25">
      <c r="J827" s="23"/>
      <c r="K827" s="23"/>
      <c r="L827" s="23"/>
      <c r="M827" s="23"/>
      <c r="R827" s="23"/>
      <c r="S827" s="23"/>
      <c r="T827" s="23"/>
    </row>
    <row r="828" spans="10:20" ht="15.75" customHeight="1" x14ac:dyDescent="0.25">
      <c r="J828" s="23"/>
      <c r="K828" s="23"/>
      <c r="L828" s="23"/>
      <c r="M828" s="23"/>
      <c r="R828" s="23"/>
      <c r="S828" s="23"/>
      <c r="T828" s="23"/>
    </row>
    <row r="829" spans="10:20" ht="15.75" customHeight="1" x14ac:dyDescent="0.25">
      <c r="J829" s="23"/>
      <c r="K829" s="23"/>
      <c r="L829" s="23"/>
      <c r="M829" s="23"/>
      <c r="R829" s="23"/>
      <c r="S829" s="23"/>
      <c r="T829" s="23"/>
    </row>
    <row r="830" spans="10:20" ht="15.75" customHeight="1" x14ac:dyDescent="0.25">
      <c r="J830" s="23"/>
      <c r="K830" s="23"/>
      <c r="L830" s="23"/>
      <c r="M830" s="23"/>
      <c r="R830" s="23"/>
      <c r="S830" s="23"/>
      <c r="T830" s="23"/>
    </row>
    <row r="831" spans="10:20" ht="15.75" customHeight="1" x14ac:dyDescent="0.25">
      <c r="J831" s="23"/>
      <c r="K831" s="23"/>
      <c r="L831" s="23"/>
      <c r="M831" s="23"/>
      <c r="R831" s="23"/>
      <c r="S831" s="23"/>
      <c r="T831" s="23"/>
    </row>
    <row r="832" spans="10:20" ht="15.75" customHeight="1" x14ac:dyDescent="0.25">
      <c r="J832" s="23"/>
      <c r="K832" s="23"/>
      <c r="L832" s="23"/>
      <c r="M832" s="23"/>
      <c r="R832" s="23"/>
      <c r="S832" s="23"/>
      <c r="T832" s="23"/>
    </row>
    <row r="833" spans="10:20" ht="15.75" customHeight="1" x14ac:dyDescent="0.25">
      <c r="J833" s="23"/>
      <c r="K833" s="23"/>
      <c r="L833" s="23"/>
      <c r="M833" s="23"/>
      <c r="R833" s="23"/>
      <c r="S833" s="23"/>
      <c r="T833" s="23"/>
    </row>
    <row r="834" spans="10:20" ht="15.75" customHeight="1" x14ac:dyDescent="0.25">
      <c r="J834" s="23"/>
      <c r="K834" s="23"/>
      <c r="L834" s="23"/>
      <c r="M834" s="23"/>
      <c r="R834" s="23"/>
      <c r="S834" s="23"/>
      <c r="T834" s="23"/>
    </row>
    <row r="835" spans="10:20" ht="15.75" customHeight="1" x14ac:dyDescent="0.25">
      <c r="J835" s="23"/>
      <c r="K835" s="23"/>
      <c r="L835" s="23"/>
      <c r="M835" s="23"/>
      <c r="R835" s="23"/>
      <c r="S835" s="23"/>
      <c r="T835" s="23"/>
    </row>
    <row r="836" spans="10:20" ht="15.75" customHeight="1" x14ac:dyDescent="0.25">
      <c r="J836" s="23"/>
      <c r="K836" s="23"/>
      <c r="L836" s="23"/>
      <c r="M836" s="23"/>
      <c r="R836" s="23"/>
      <c r="S836" s="23"/>
      <c r="T836" s="23"/>
    </row>
    <row r="837" spans="10:20" ht="15.75" customHeight="1" x14ac:dyDescent="0.25">
      <c r="J837" s="23"/>
      <c r="K837" s="23"/>
      <c r="L837" s="23"/>
      <c r="M837" s="23"/>
      <c r="R837" s="23"/>
      <c r="S837" s="23"/>
      <c r="T837" s="23"/>
    </row>
    <row r="838" spans="10:20" ht="15.75" customHeight="1" x14ac:dyDescent="0.25">
      <c r="J838" s="23"/>
      <c r="K838" s="23"/>
      <c r="L838" s="23"/>
      <c r="M838" s="23"/>
      <c r="R838" s="23"/>
      <c r="S838" s="23"/>
      <c r="T838" s="23"/>
    </row>
    <row r="839" spans="10:20" ht="15.75" customHeight="1" x14ac:dyDescent="0.25">
      <c r="J839" s="23"/>
      <c r="K839" s="23"/>
      <c r="L839" s="23"/>
      <c r="M839" s="23"/>
      <c r="R839" s="23"/>
      <c r="S839" s="23"/>
      <c r="T839" s="23"/>
    </row>
    <row r="840" spans="10:20" ht="15.75" customHeight="1" x14ac:dyDescent="0.25">
      <c r="J840" s="23"/>
      <c r="K840" s="23"/>
      <c r="L840" s="23"/>
      <c r="M840" s="23"/>
      <c r="R840" s="23"/>
      <c r="S840" s="23"/>
      <c r="T840" s="23"/>
    </row>
    <row r="841" spans="10:20" ht="15.75" customHeight="1" x14ac:dyDescent="0.25">
      <c r="J841" s="23"/>
      <c r="K841" s="23"/>
      <c r="L841" s="23"/>
      <c r="M841" s="23"/>
      <c r="R841" s="23"/>
      <c r="S841" s="23"/>
      <c r="T841" s="23"/>
    </row>
    <row r="842" spans="10:20" ht="15.75" customHeight="1" x14ac:dyDescent="0.25">
      <c r="J842" s="23"/>
      <c r="K842" s="23"/>
      <c r="L842" s="23"/>
      <c r="M842" s="23"/>
      <c r="R842" s="23"/>
      <c r="S842" s="23"/>
      <c r="T842" s="23"/>
    </row>
    <row r="843" spans="10:20" ht="15.75" customHeight="1" x14ac:dyDescent="0.25">
      <c r="J843" s="23"/>
      <c r="K843" s="23"/>
      <c r="L843" s="23"/>
      <c r="M843" s="23"/>
      <c r="R843" s="23"/>
      <c r="S843" s="23"/>
      <c r="T843" s="23"/>
    </row>
    <row r="844" spans="10:20" ht="15.75" customHeight="1" x14ac:dyDescent="0.25">
      <c r="J844" s="23"/>
      <c r="K844" s="23"/>
      <c r="L844" s="23"/>
      <c r="M844" s="23"/>
      <c r="R844" s="23"/>
      <c r="S844" s="23"/>
      <c r="T844" s="23"/>
    </row>
    <row r="845" spans="10:20" ht="15.75" customHeight="1" x14ac:dyDescent="0.25">
      <c r="J845" s="23"/>
      <c r="K845" s="23"/>
      <c r="L845" s="23"/>
      <c r="M845" s="23"/>
      <c r="R845" s="23"/>
      <c r="S845" s="23"/>
      <c r="T845" s="23"/>
    </row>
    <row r="846" spans="10:20" ht="15.75" customHeight="1" x14ac:dyDescent="0.25">
      <c r="J846" s="23"/>
      <c r="K846" s="23"/>
      <c r="L846" s="23"/>
      <c r="M846" s="23"/>
      <c r="R846" s="23"/>
      <c r="S846" s="23"/>
      <c r="T846" s="23"/>
    </row>
    <row r="847" spans="10:20" ht="15.75" customHeight="1" x14ac:dyDescent="0.25">
      <c r="J847" s="23"/>
      <c r="K847" s="23"/>
      <c r="L847" s="23"/>
      <c r="M847" s="23"/>
      <c r="R847" s="23"/>
      <c r="S847" s="23"/>
      <c r="T847" s="23"/>
    </row>
    <row r="848" spans="10:20" ht="15.75" customHeight="1" x14ac:dyDescent="0.25">
      <c r="J848" s="23"/>
      <c r="K848" s="23"/>
      <c r="L848" s="23"/>
      <c r="M848" s="23"/>
      <c r="R848" s="23"/>
      <c r="S848" s="23"/>
      <c r="T848" s="23"/>
    </row>
    <row r="849" spans="10:20" ht="15.75" customHeight="1" x14ac:dyDescent="0.25">
      <c r="J849" s="23"/>
      <c r="K849" s="23"/>
      <c r="L849" s="23"/>
      <c r="M849" s="23"/>
      <c r="R849" s="23"/>
      <c r="S849" s="23"/>
      <c r="T849" s="23"/>
    </row>
    <row r="850" spans="10:20" ht="15.75" customHeight="1" x14ac:dyDescent="0.25">
      <c r="J850" s="23"/>
      <c r="K850" s="23"/>
      <c r="L850" s="23"/>
      <c r="M850" s="23"/>
      <c r="R850" s="23"/>
      <c r="S850" s="23"/>
      <c r="T850" s="23"/>
    </row>
    <row r="851" spans="10:20" ht="15.75" customHeight="1" x14ac:dyDescent="0.25">
      <c r="J851" s="23"/>
      <c r="K851" s="23"/>
      <c r="L851" s="23"/>
      <c r="M851" s="23"/>
      <c r="R851" s="23"/>
      <c r="S851" s="23"/>
      <c r="T851" s="23"/>
    </row>
    <row r="852" spans="10:20" ht="15.75" customHeight="1" x14ac:dyDescent="0.25">
      <c r="J852" s="23"/>
      <c r="K852" s="23"/>
      <c r="L852" s="23"/>
      <c r="M852" s="23"/>
      <c r="R852" s="23"/>
      <c r="S852" s="23"/>
      <c r="T852" s="23"/>
    </row>
    <row r="853" spans="10:20" ht="15.75" customHeight="1" x14ac:dyDescent="0.25">
      <c r="J853" s="23"/>
      <c r="K853" s="23"/>
      <c r="L853" s="23"/>
      <c r="M853" s="23"/>
      <c r="R853" s="23"/>
      <c r="S853" s="23"/>
      <c r="T853" s="23"/>
    </row>
    <row r="854" spans="10:20" ht="15.75" customHeight="1" x14ac:dyDescent="0.25">
      <c r="J854" s="23"/>
      <c r="K854" s="23"/>
      <c r="L854" s="23"/>
      <c r="M854" s="23"/>
      <c r="R854" s="23"/>
      <c r="S854" s="23"/>
      <c r="T854" s="23"/>
    </row>
    <row r="855" spans="10:20" ht="15.75" customHeight="1" x14ac:dyDescent="0.25">
      <c r="J855" s="23"/>
      <c r="K855" s="23"/>
      <c r="L855" s="23"/>
      <c r="M855" s="23"/>
      <c r="R855" s="23"/>
      <c r="S855" s="23"/>
      <c r="T855" s="23"/>
    </row>
    <row r="856" spans="10:20" ht="15.75" customHeight="1" x14ac:dyDescent="0.25">
      <c r="J856" s="23"/>
      <c r="K856" s="23"/>
      <c r="L856" s="23"/>
      <c r="M856" s="23"/>
      <c r="R856" s="23"/>
      <c r="S856" s="23"/>
      <c r="T856" s="23"/>
    </row>
    <row r="857" spans="10:20" ht="15.75" customHeight="1" x14ac:dyDescent="0.25">
      <c r="J857" s="23"/>
      <c r="K857" s="23"/>
      <c r="L857" s="23"/>
      <c r="M857" s="23"/>
      <c r="R857" s="23"/>
      <c r="S857" s="23"/>
      <c r="T857" s="23"/>
    </row>
    <row r="858" spans="10:20" ht="15.75" customHeight="1" x14ac:dyDescent="0.25">
      <c r="J858" s="23"/>
      <c r="K858" s="23"/>
      <c r="L858" s="23"/>
      <c r="M858" s="23"/>
      <c r="R858" s="23"/>
      <c r="S858" s="23"/>
      <c r="T858" s="23"/>
    </row>
    <row r="859" spans="10:20" ht="15.75" customHeight="1" x14ac:dyDescent="0.25">
      <c r="J859" s="23"/>
      <c r="K859" s="23"/>
      <c r="L859" s="23"/>
      <c r="M859" s="23"/>
      <c r="R859" s="23"/>
      <c r="S859" s="23"/>
      <c r="T859" s="23"/>
    </row>
    <row r="860" spans="10:20" ht="15.75" customHeight="1" x14ac:dyDescent="0.25">
      <c r="J860" s="23"/>
      <c r="K860" s="23"/>
      <c r="L860" s="23"/>
      <c r="M860" s="23"/>
      <c r="R860" s="23"/>
      <c r="S860" s="23"/>
      <c r="T860" s="23"/>
    </row>
    <row r="861" spans="10:20" ht="15.75" customHeight="1" x14ac:dyDescent="0.25">
      <c r="J861" s="23"/>
      <c r="K861" s="23"/>
      <c r="L861" s="23"/>
      <c r="M861" s="23"/>
      <c r="R861" s="23"/>
      <c r="S861" s="23"/>
      <c r="T861" s="23"/>
    </row>
    <row r="862" spans="10:20" ht="15.75" customHeight="1" x14ac:dyDescent="0.25">
      <c r="J862" s="23"/>
      <c r="K862" s="23"/>
      <c r="L862" s="23"/>
      <c r="M862" s="23"/>
      <c r="R862" s="23"/>
      <c r="S862" s="23"/>
      <c r="T862" s="23"/>
    </row>
    <row r="863" spans="10:20" ht="15.75" customHeight="1" x14ac:dyDescent="0.25">
      <c r="J863" s="23"/>
      <c r="K863" s="23"/>
      <c r="L863" s="23"/>
      <c r="M863" s="23"/>
      <c r="R863" s="23"/>
      <c r="S863" s="23"/>
      <c r="T863" s="23"/>
    </row>
    <row r="864" spans="10:20" ht="15.75" customHeight="1" x14ac:dyDescent="0.25">
      <c r="J864" s="23"/>
      <c r="K864" s="23"/>
      <c r="L864" s="23"/>
      <c r="M864" s="23"/>
      <c r="R864" s="23"/>
      <c r="S864" s="23"/>
      <c r="T864" s="23"/>
    </row>
    <row r="865" spans="10:20" ht="15.75" customHeight="1" x14ac:dyDescent="0.25">
      <c r="J865" s="23"/>
      <c r="K865" s="23"/>
      <c r="L865" s="23"/>
      <c r="M865" s="23"/>
      <c r="R865" s="23"/>
      <c r="S865" s="23"/>
      <c r="T865" s="23"/>
    </row>
    <row r="866" spans="10:20" ht="15.75" customHeight="1" x14ac:dyDescent="0.25">
      <c r="J866" s="23"/>
      <c r="K866" s="23"/>
      <c r="L866" s="23"/>
      <c r="M866" s="23"/>
      <c r="R866" s="23"/>
      <c r="S866" s="23"/>
      <c r="T866" s="23"/>
    </row>
    <row r="867" spans="10:20" ht="15.75" customHeight="1" x14ac:dyDescent="0.25">
      <c r="J867" s="23"/>
      <c r="K867" s="23"/>
      <c r="L867" s="23"/>
      <c r="M867" s="23"/>
      <c r="R867" s="23"/>
      <c r="S867" s="23"/>
      <c r="T867" s="23"/>
    </row>
    <row r="868" spans="10:20" ht="15.75" customHeight="1" x14ac:dyDescent="0.25">
      <c r="J868" s="23"/>
      <c r="K868" s="23"/>
      <c r="L868" s="23"/>
      <c r="M868" s="23"/>
      <c r="R868" s="23"/>
      <c r="S868" s="23"/>
      <c r="T868" s="23"/>
    </row>
    <row r="869" spans="10:20" ht="15.75" customHeight="1" x14ac:dyDescent="0.25">
      <c r="J869" s="23"/>
      <c r="K869" s="23"/>
      <c r="L869" s="23"/>
      <c r="M869" s="23"/>
      <c r="R869" s="23"/>
      <c r="S869" s="23"/>
      <c r="T869" s="23"/>
    </row>
    <row r="870" spans="10:20" ht="15.75" customHeight="1" x14ac:dyDescent="0.25">
      <c r="J870" s="23"/>
      <c r="K870" s="23"/>
      <c r="L870" s="23"/>
      <c r="M870" s="23"/>
      <c r="R870" s="23"/>
      <c r="S870" s="23"/>
      <c r="T870" s="23"/>
    </row>
    <row r="871" spans="10:20" ht="15.75" customHeight="1" x14ac:dyDescent="0.25">
      <c r="J871" s="23"/>
      <c r="K871" s="23"/>
      <c r="L871" s="23"/>
      <c r="M871" s="23"/>
      <c r="R871" s="23"/>
      <c r="S871" s="23"/>
      <c r="T871" s="23"/>
    </row>
    <row r="872" spans="10:20" ht="15.75" customHeight="1" x14ac:dyDescent="0.25">
      <c r="J872" s="23"/>
      <c r="K872" s="23"/>
      <c r="L872" s="23"/>
      <c r="M872" s="23"/>
      <c r="R872" s="23"/>
      <c r="S872" s="23"/>
      <c r="T872" s="23"/>
    </row>
    <row r="873" spans="10:20" ht="15.75" customHeight="1" x14ac:dyDescent="0.25">
      <c r="J873" s="23"/>
      <c r="K873" s="23"/>
      <c r="L873" s="23"/>
      <c r="M873" s="23"/>
      <c r="R873" s="23"/>
      <c r="S873" s="23"/>
      <c r="T873" s="23"/>
    </row>
    <row r="874" spans="10:20" ht="15.75" customHeight="1" x14ac:dyDescent="0.25">
      <c r="J874" s="23"/>
      <c r="K874" s="23"/>
      <c r="L874" s="23"/>
      <c r="M874" s="23"/>
      <c r="R874" s="23"/>
      <c r="S874" s="23"/>
      <c r="T874" s="23"/>
    </row>
    <row r="875" spans="10:20" ht="15.75" customHeight="1" x14ac:dyDescent="0.25">
      <c r="J875" s="23"/>
      <c r="K875" s="23"/>
      <c r="L875" s="23"/>
      <c r="M875" s="23"/>
      <c r="R875" s="23"/>
      <c r="S875" s="23"/>
      <c r="T875" s="23"/>
    </row>
    <row r="876" spans="10:20" ht="15.75" customHeight="1" x14ac:dyDescent="0.25">
      <c r="J876" s="23"/>
      <c r="K876" s="23"/>
      <c r="L876" s="23"/>
      <c r="M876" s="23"/>
      <c r="R876" s="23"/>
      <c r="S876" s="23"/>
      <c r="T876" s="23"/>
    </row>
    <row r="877" spans="10:20" ht="15.75" customHeight="1" x14ac:dyDescent="0.25">
      <c r="J877" s="23"/>
      <c r="K877" s="23"/>
      <c r="L877" s="23"/>
      <c r="M877" s="23"/>
      <c r="R877" s="23"/>
      <c r="S877" s="23"/>
      <c r="T877" s="23"/>
    </row>
    <row r="878" spans="10:20" ht="15.75" customHeight="1" x14ac:dyDescent="0.25">
      <c r="J878" s="23"/>
      <c r="K878" s="23"/>
      <c r="L878" s="23"/>
      <c r="M878" s="23"/>
      <c r="R878" s="23"/>
      <c r="S878" s="23"/>
      <c r="T878" s="23"/>
    </row>
    <row r="879" spans="10:20" ht="15.75" customHeight="1" x14ac:dyDescent="0.25">
      <c r="J879" s="23"/>
      <c r="K879" s="23"/>
      <c r="L879" s="23"/>
      <c r="M879" s="23"/>
      <c r="R879" s="23"/>
      <c r="S879" s="23"/>
      <c r="T879" s="23"/>
    </row>
    <row r="880" spans="10:20" ht="15.75" customHeight="1" x14ac:dyDescent="0.25">
      <c r="J880" s="23"/>
      <c r="K880" s="23"/>
      <c r="L880" s="23"/>
      <c r="M880" s="23"/>
      <c r="R880" s="23"/>
      <c r="S880" s="23"/>
      <c r="T880" s="23"/>
    </row>
    <row r="881" spans="10:20" ht="15.75" customHeight="1" x14ac:dyDescent="0.25">
      <c r="J881" s="23"/>
      <c r="K881" s="23"/>
      <c r="L881" s="23"/>
      <c r="M881" s="23"/>
      <c r="R881" s="23"/>
      <c r="S881" s="23"/>
      <c r="T881" s="23"/>
    </row>
    <row r="882" spans="10:20" ht="15.75" customHeight="1" x14ac:dyDescent="0.25">
      <c r="J882" s="23"/>
      <c r="K882" s="23"/>
      <c r="L882" s="23"/>
      <c r="M882" s="23"/>
      <c r="R882" s="23"/>
      <c r="S882" s="23"/>
      <c r="T882" s="23"/>
    </row>
    <row r="883" spans="10:20" ht="15.75" customHeight="1" x14ac:dyDescent="0.25">
      <c r="J883" s="23"/>
      <c r="K883" s="23"/>
      <c r="L883" s="23"/>
      <c r="M883" s="23"/>
      <c r="R883" s="23"/>
      <c r="S883" s="23"/>
      <c r="T883" s="23"/>
    </row>
    <row r="884" spans="10:20" ht="15.75" customHeight="1" x14ac:dyDescent="0.25">
      <c r="J884" s="23"/>
      <c r="K884" s="23"/>
      <c r="L884" s="23"/>
      <c r="M884" s="23"/>
      <c r="R884" s="23"/>
      <c r="S884" s="23"/>
      <c r="T884" s="23"/>
    </row>
    <row r="885" spans="10:20" ht="15.75" customHeight="1" x14ac:dyDescent="0.25">
      <c r="J885" s="23"/>
      <c r="K885" s="23"/>
      <c r="L885" s="23"/>
      <c r="M885" s="23"/>
      <c r="R885" s="23"/>
      <c r="S885" s="23"/>
      <c r="T885" s="23"/>
    </row>
    <row r="886" spans="10:20" ht="15.75" customHeight="1" x14ac:dyDescent="0.25">
      <c r="J886" s="23"/>
      <c r="K886" s="23"/>
      <c r="L886" s="23"/>
      <c r="M886" s="23"/>
      <c r="R886" s="23"/>
      <c r="S886" s="23"/>
      <c r="T886" s="23"/>
    </row>
    <row r="887" spans="10:20" ht="15.75" customHeight="1" x14ac:dyDescent="0.25">
      <c r="J887" s="23"/>
      <c r="K887" s="23"/>
      <c r="L887" s="23"/>
      <c r="M887" s="23"/>
      <c r="R887" s="23"/>
      <c r="S887" s="23"/>
      <c r="T887" s="23"/>
    </row>
    <row r="888" spans="10:20" ht="15.75" customHeight="1" x14ac:dyDescent="0.25">
      <c r="J888" s="23"/>
      <c r="K888" s="23"/>
      <c r="L888" s="23"/>
      <c r="M888" s="23"/>
      <c r="R888" s="23"/>
      <c r="S888" s="23"/>
      <c r="T888" s="23"/>
    </row>
    <row r="889" spans="10:20" ht="15.75" customHeight="1" x14ac:dyDescent="0.25">
      <c r="J889" s="23"/>
      <c r="K889" s="23"/>
      <c r="L889" s="23"/>
      <c r="M889" s="23"/>
      <c r="R889" s="23"/>
      <c r="S889" s="23"/>
      <c r="T889" s="23"/>
    </row>
    <row r="890" spans="10:20" ht="15.75" customHeight="1" x14ac:dyDescent="0.25">
      <c r="J890" s="23"/>
      <c r="K890" s="23"/>
      <c r="L890" s="23"/>
      <c r="M890" s="23"/>
      <c r="R890" s="23"/>
      <c r="S890" s="23"/>
      <c r="T890" s="23"/>
    </row>
    <row r="891" spans="10:20" ht="15.75" customHeight="1" x14ac:dyDescent="0.25">
      <c r="J891" s="23"/>
      <c r="K891" s="23"/>
      <c r="L891" s="23"/>
      <c r="M891" s="23"/>
      <c r="R891" s="23"/>
      <c r="S891" s="23"/>
      <c r="T891" s="23"/>
    </row>
    <row r="892" spans="10:20" ht="15.75" customHeight="1" x14ac:dyDescent="0.25">
      <c r="J892" s="23"/>
      <c r="K892" s="23"/>
      <c r="L892" s="23"/>
      <c r="M892" s="23"/>
      <c r="R892" s="23"/>
      <c r="S892" s="23"/>
      <c r="T892" s="23"/>
    </row>
    <row r="893" spans="10:20" ht="15.75" customHeight="1" x14ac:dyDescent="0.25">
      <c r="J893" s="23"/>
      <c r="K893" s="23"/>
      <c r="L893" s="23"/>
      <c r="M893" s="23"/>
      <c r="R893" s="23"/>
      <c r="S893" s="23"/>
      <c r="T893" s="23"/>
    </row>
    <row r="894" spans="10:20" ht="15.75" customHeight="1" x14ac:dyDescent="0.25">
      <c r="J894" s="23"/>
      <c r="K894" s="23"/>
      <c r="L894" s="23"/>
      <c r="M894" s="23"/>
      <c r="R894" s="23"/>
      <c r="S894" s="23"/>
      <c r="T894" s="23"/>
    </row>
    <row r="895" spans="10:20" ht="15.75" customHeight="1" x14ac:dyDescent="0.25">
      <c r="J895" s="23"/>
      <c r="K895" s="23"/>
      <c r="L895" s="23"/>
      <c r="M895" s="23"/>
      <c r="R895" s="23"/>
      <c r="S895" s="23"/>
      <c r="T895" s="23"/>
    </row>
    <row r="896" spans="10:20" ht="15.75" customHeight="1" x14ac:dyDescent="0.25">
      <c r="J896" s="23"/>
      <c r="K896" s="23"/>
      <c r="L896" s="23"/>
      <c r="M896" s="23"/>
      <c r="R896" s="23"/>
      <c r="S896" s="23"/>
      <c r="T896" s="23"/>
    </row>
    <row r="897" spans="10:20" ht="15.75" customHeight="1" x14ac:dyDescent="0.25">
      <c r="J897" s="23"/>
      <c r="K897" s="23"/>
      <c r="L897" s="23"/>
      <c r="M897" s="23"/>
      <c r="R897" s="23"/>
      <c r="S897" s="23"/>
      <c r="T897" s="23"/>
    </row>
    <row r="898" spans="10:20" ht="15.75" customHeight="1" x14ac:dyDescent="0.25">
      <c r="J898" s="23"/>
      <c r="K898" s="23"/>
      <c r="L898" s="23"/>
      <c r="M898" s="23"/>
      <c r="R898" s="23"/>
      <c r="S898" s="23"/>
      <c r="T898" s="23"/>
    </row>
    <row r="899" spans="10:20" ht="15.75" customHeight="1" x14ac:dyDescent="0.25">
      <c r="J899" s="23"/>
      <c r="K899" s="23"/>
      <c r="L899" s="23"/>
      <c r="M899" s="23"/>
      <c r="R899" s="23"/>
      <c r="S899" s="23"/>
      <c r="T899" s="23"/>
    </row>
    <row r="900" spans="10:20" ht="15.75" customHeight="1" x14ac:dyDescent="0.25">
      <c r="J900" s="23"/>
      <c r="K900" s="23"/>
      <c r="L900" s="23"/>
      <c r="M900" s="23"/>
      <c r="R900" s="23"/>
      <c r="S900" s="23"/>
      <c r="T900" s="23"/>
    </row>
    <row r="901" spans="10:20" ht="15.75" customHeight="1" x14ac:dyDescent="0.25">
      <c r="J901" s="23"/>
      <c r="K901" s="23"/>
      <c r="L901" s="23"/>
      <c r="M901" s="23"/>
      <c r="R901" s="23"/>
      <c r="S901" s="23"/>
      <c r="T901" s="23"/>
    </row>
    <row r="902" spans="10:20" ht="15.75" customHeight="1" x14ac:dyDescent="0.25">
      <c r="J902" s="23"/>
      <c r="K902" s="23"/>
      <c r="L902" s="23"/>
      <c r="M902" s="23"/>
      <c r="R902" s="23"/>
      <c r="S902" s="23"/>
      <c r="T902" s="23"/>
    </row>
    <row r="903" spans="10:20" ht="15.75" customHeight="1" x14ac:dyDescent="0.25">
      <c r="J903" s="23"/>
      <c r="K903" s="23"/>
      <c r="L903" s="23"/>
      <c r="M903" s="23"/>
      <c r="R903" s="23"/>
      <c r="S903" s="23"/>
      <c r="T903" s="23"/>
    </row>
    <row r="904" spans="10:20" ht="15.75" customHeight="1" x14ac:dyDescent="0.25">
      <c r="J904" s="23"/>
      <c r="K904" s="23"/>
      <c r="L904" s="23"/>
      <c r="M904" s="23"/>
      <c r="R904" s="23"/>
      <c r="S904" s="23"/>
      <c r="T904" s="23"/>
    </row>
    <row r="905" spans="10:20" ht="15.75" customHeight="1" x14ac:dyDescent="0.25">
      <c r="J905" s="23"/>
      <c r="K905" s="23"/>
      <c r="L905" s="23"/>
      <c r="M905" s="23"/>
      <c r="R905" s="23"/>
      <c r="S905" s="23"/>
      <c r="T905" s="23"/>
    </row>
    <row r="906" spans="10:20" ht="15.75" customHeight="1" x14ac:dyDescent="0.25">
      <c r="J906" s="23"/>
      <c r="K906" s="23"/>
      <c r="L906" s="23"/>
      <c r="M906" s="23"/>
      <c r="R906" s="23"/>
      <c r="S906" s="23"/>
      <c r="T906" s="23"/>
    </row>
    <row r="907" spans="10:20" ht="15.75" customHeight="1" x14ac:dyDescent="0.25">
      <c r="J907" s="23"/>
      <c r="K907" s="23"/>
      <c r="L907" s="23"/>
      <c r="M907" s="23"/>
      <c r="R907" s="23"/>
      <c r="S907" s="23"/>
      <c r="T907" s="23"/>
    </row>
    <row r="908" spans="10:20" ht="15.75" customHeight="1" x14ac:dyDescent="0.25">
      <c r="J908" s="23"/>
      <c r="K908" s="23"/>
      <c r="L908" s="23"/>
      <c r="M908" s="23"/>
      <c r="R908" s="23"/>
      <c r="S908" s="23"/>
      <c r="T908" s="23"/>
    </row>
    <row r="909" spans="10:20" ht="15.75" customHeight="1" x14ac:dyDescent="0.25">
      <c r="J909" s="23"/>
      <c r="K909" s="23"/>
      <c r="L909" s="23"/>
      <c r="M909" s="23"/>
      <c r="R909" s="23"/>
      <c r="S909" s="23"/>
      <c r="T909" s="23"/>
    </row>
    <row r="910" spans="10:20" ht="15.75" customHeight="1" x14ac:dyDescent="0.25">
      <c r="J910" s="23"/>
      <c r="K910" s="23"/>
      <c r="L910" s="23"/>
      <c r="M910" s="23"/>
      <c r="R910" s="23"/>
      <c r="S910" s="23"/>
      <c r="T910" s="23"/>
    </row>
    <row r="911" spans="10:20" ht="15.75" customHeight="1" x14ac:dyDescent="0.25">
      <c r="J911" s="23"/>
      <c r="K911" s="23"/>
      <c r="L911" s="23"/>
      <c r="M911" s="23"/>
      <c r="R911" s="23"/>
      <c r="S911" s="23"/>
      <c r="T911" s="23"/>
    </row>
    <row r="912" spans="10:20" ht="15.75" customHeight="1" x14ac:dyDescent="0.25">
      <c r="J912" s="23"/>
      <c r="K912" s="23"/>
      <c r="L912" s="23"/>
      <c r="M912" s="23"/>
      <c r="R912" s="23"/>
      <c r="S912" s="23"/>
      <c r="T912" s="23"/>
    </row>
    <row r="913" spans="10:20" ht="15.75" customHeight="1" x14ac:dyDescent="0.25">
      <c r="J913" s="23"/>
      <c r="K913" s="23"/>
      <c r="L913" s="23"/>
      <c r="M913" s="23"/>
      <c r="R913" s="23"/>
      <c r="S913" s="23"/>
      <c r="T913" s="23"/>
    </row>
    <row r="914" spans="10:20" ht="15.75" customHeight="1" x14ac:dyDescent="0.25">
      <c r="J914" s="23"/>
      <c r="K914" s="23"/>
      <c r="L914" s="23"/>
      <c r="M914" s="23"/>
      <c r="R914" s="23"/>
      <c r="S914" s="23"/>
      <c r="T914" s="23"/>
    </row>
    <row r="915" spans="10:20" ht="15.75" customHeight="1" x14ac:dyDescent="0.25">
      <c r="J915" s="23"/>
      <c r="K915" s="23"/>
      <c r="L915" s="23"/>
      <c r="M915" s="23"/>
      <c r="R915" s="23"/>
      <c r="S915" s="23"/>
      <c r="T915" s="23"/>
    </row>
    <row r="916" spans="10:20" ht="15.75" customHeight="1" x14ac:dyDescent="0.25">
      <c r="J916" s="23"/>
      <c r="K916" s="23"/>
      <c r="L916" s="23"/>
      <c r="M916" s="23"/>
      <c r="R916" s="23"/>
      <c r="S916" s="23"/>
      <c r="T916" s="23"/>
    </row>
    <row r="917" spans="10:20" ht="15.75" customHeight="1" x14ac:dyDescent="0.25">
      <c r="J917" s="23"/>
      <c r="K917" s="23"/>
      <c r="L917" s="23"/>
      <c r="M917" s="23"/>
      <c r="R917" s="23"/>
      <c r="S917" s="23"/>
      <c r="T917" s="23"/>
    </row>
    <row r="918" spans="10:20" ht="15.75" customHeight="1" x14ac:dyDescent="0.25">
      <c r="J918" s="23"/>
      <c r="K918" s="23"/>
      <c r="L918" s="23"/>
      <c r="M918" s="23"/>
      <c r="R918" s="23"/>
      <c r="S918" s="23"/>
      <c r="T918" s="23"/>
    </row>
    <row r="919" spans="10:20" ht="15.75" customHeight="1" x14ac:dyDescent="0.25">
      <c r="J919" s="23"/>
      <c r="K919" s="23"/>
      <c r="L919" s="23"/>
      <c r="M919" s="23"/>
      <c r="R919" s="23"/>
      <c r="S919" s="23"/>
      <c r="T919" s="23"/>
    </row>
    <row r="920" spans="10:20" ht="15.75" customHeight="1" x14ac:dyDescent="0.25">
      <c r="J920" s="23"/>
      <c r="K920" s="23"/>
      <c r="L920" s="23"/>
      <c r="M920" s="23"/>
      <c r="R920" s="23"/>
      <c r="S920" s="23"/>
      <c r="T920" s="23"/>
    </row>
    <row r="921" spans="10:20" ht="15.75" customHeight="1" x14ac:dyDescent="0.25">
      <c r="J921" s="23"/>
      <c r="K921" s="23"/>
      <c r="L921" s="23"/>
      <c r="M921" s="23"/>
      <c r="R921" s="23"/>
      <c r="S921" s="23"/>
      <c r="T921" s="23"/>
    </row>
    <row r="922" spans="10:20" ht="15.75" customHeight="1" x14ac:dyDescent="0.25">
      <c r="J922" s="23"/>
      <c r="K922" s="23"/>
      <c r="L922" s="23"/>
      <c r="M922" s="23"/>
      <c r="R922" s="23"/>
      <c r="S922" s="23"/>
      <c r="T922" s="23"/>
    </row>
    <row r="923" spans="10:20" ht="15.75" customHeight="1" x14ac:dyDescent="0.25">
      <c r="J923" s="23"/>
      <c r="K923" s="23"/>
      <c r="L923" s="23"/>
      <c r="M923" s="23"/>
      <c r="R923" s="23"/>
      <c r="S923" s="23"/>
      <c r="T923" s="23"/>
    </row>
    <row r="924" spans="10:20" ht="15.75" customHeight="1" x14ac:dyDescent="0.25">
      <c r="J924" s="23"/>
      <c r="K924" s="23"/>
      <c r="L924" s="23"/>
      <c r="M924" s="23"/>
      <c r="R924" s="23"/>
      <c r="S924" s="23"/>
      <c r="T924" s="23"/>
    </row>
    <row r="925" spans="10:20" ht="15.75" customHeight="1" x14ac:dyDescent="0.25">
      <c r="J925" s="23"/>
      <c r="K925" s="23"/>
      <c r="L925" s="23"/>
      <c r="M925" s="23"/>
      <c r="R925" s="23"/>
      <c r="S925" s="23"/>
      <c r="T925" s="23"/>
    </row>
    <row r="926" spans="10:20" ht="15.75" customHeight="1" x14ac:dyDescent="0.25">
      <c r="J926" s="23"/>
      <c r="K926" s="23"/>
      <c r="L926" s="23"/>
      <c r="M926" s="23"/>
      <c r="R926" s="23"/>
      <c r="S926" s="23"/>
      <c r="T926" s="23"/>
    </row>
    <row r="927" spans="10:20" ht="15.75" customHeight="1" x14ac:dyDescent="0.25">
      <c r="J927" s="23"/>
      <c r="K927" s="23"/>
      <c r="L927" s="23"/>
      <c r="M927" s="23"/>
      <c r="R927" s="23"/>
      <c r="S927" s="23"/>
      <c r="T927" s="23"/>
    </row>
    <row r="928" spans="10:20" ht="15.75" customHeight="1" x14ac:dyDescent="0.25">
      <c r="J928" s="23"/>
      <c r="K928" s="23"/>
      <c r="L928" s="23"/>
      <c r="M928" s="23"/>
      <c r="R928" s="23"/>
      <c r="S928" s="23"/>
      <c r="T928" s="23"/>
    </row>
    <row r="929" spans="10:20" ht="15.75" customHeight="1" x14ac:dyDescent="0.25">
      <c r="J929" s="23"/>
      <c r="K929" s="23"/>
      <c r="L929" s="23"/>
      <c r="M929" s="23"/>
      <c r="R929" s="23"/>
      <c r="S929" s="23"/>
      <c r="T929" s="23"/>
    </row>
    <row r="930" spans="10:20" ht="15.75" customHeight="1" x14ac:dyDescent="0.25">
      <c r="J930" s="23"/>
      <c r="K930" s="23"/>
      <c r="L930" s="23"/>
      <c r="M930" s="23"/>
      <c r="R930" s="23"/>
      <c r="S930" s="23"/>
      <c r="T930" s="23"/>
    </row>
    <row r="931" spans="10:20" ht="15.75" customHeight="1" x14ac:dyDescent="0.25">
      <c r="J931" s="23"/>
      <c r="K931" s="23"/>
      <c r="L931" s="23"/>
      <c r="M931" s="23"/>
      <c r="R931" s="23"/>
      <c r="S931" s="23"/>
      <c r="T931" s="23"/>
    </row>
    <row r="932" spans="10:20" ht="15.75" customHeight="1" x14ac:dyDescent="0.25">
      <c r="J932" s="23"/>
      <c r="K932" s="23"/>
      <c r="L932" s="23"/>
      <c r="M932" s="23"/>
      <c r="R932" s="23"/>
      <c r="S932" s="23"/>
      <c r="T932" s="23"/>
    </row>
    <row r="933" spans="10:20" ht="15.75" customHeight="1" x14ac:dyDescent="0.25">
      <c r="J933" s="23"/>
      <c r="K933" s="23"/>
      <c r="L933" s="23"/>
      <c r="M933" s="23"/>
      <c r="R933" s="23"/>
      <c r="S933" s="23"/>
      <c r="T933" s="23"/>
    </row>
    <row r="934" spans="10:20" ht="15.75" customHeight="1" x14ac:dyDescent="0.25">
      <c r="J934" s="23"/>
      <c r="K934" s="23"/>
      <c r="L934" s="23"/>
      <c r="M934" s="23"/>
      <c r="R934" s="23"/>
      <c r="S934" s="23"/>
      <c r="T934" s="23"/>
    </row>
    <row r="935" spans="10:20" ht="15.75" customHeight="1" x14ac:dyDescent="0.25">
      <c r="J935" s="23"/>
      <c r="K935" s="23"/>
      <c r="L935" s="23"/>
      <c r="M935" s="23"/>
      <c r="R935" s="23"/>
      <c r="S935" s="23"/>
      <c r="T935" s="23"/>
    </row>
    <row r="936" spans="10:20" ht="15.75" customHeight="1" x14ac:dyDescent="0.25">
      <c r="J936" s="23"/>
      <c r="K936" s="23"/>
      <c r="L936" s="23"/>
      <c r="M936" s="23"/>
      <c r="R936" s="23"/>
      <c r="S936" s="23"/>
      <c r="T936" s="23"/>
    </row>
    <row r="937" spans="10:20" ht="15.75" customHeight="1" x14ac:dyDescent="0.25">
      <c r="J937" s="23"/>
      <c r="K937" s="23"/>
      <c r="L937" s="23"/>
      <c r="M937" s="23"/>
      <c r="R937" s="23"/>
      <c r="S937" s="23"/>
      <c r="T937" s="23"/>
    </row>
    <row r="938" spans="10:20" ht="15.75" customHeight="1" x14ac:dyDescent="0.25">
      <c r="J938" s="23"/>
      <c r="K938" s="23"/>
      <c r="L938" s="23"/>
      <c r="M938" s="23"/>
      <c r="R938" s="23"/>
      <c r="S938" s="23"/>
      <c r="T938" s="23"/>
    </row>
    <row r="939" spans="10:20" ht="15.75" customHeight="1" x14ac:dyDescent="0.25">
      <c r="J939" s="23"/>
      <c r="K939" s="23"/>
      <c r="L939" s="23"/>
      <c r="M939" s="23"/>
      <c r="R939" s="23"/>
      <c r="S939" s="23"/>
      <c r="T939" s="23"/>
    </row>
    <row r="940" spans="10:20" ht="15.75" customHeight="1" x14ac:dyDescent="0.25">
      <c r="J940" s="23"/>
      <c r="K940" s="23"/>
      <c r="L940" s="23"/>
      <c r="M940" s="23"/>
      <c r="R940" s="23"/>
      <c r="S940" s="23"/>
      <c r="T940" s="23"/>
    </row>
    <row r="941" spans="10:20" ht="15.75" customHeight="1" x14ac:dyDescent="0.25">
      <c r="J941" s="23"/>
      <c r="K941" s="23"/>
      <c r="L941" s="23"/>
      <c r="M941" s="23"/>
      <c r="R941" s="23"/>
      <c r="S941" s="23"/>
      <c r="T941" s="23"/>
    </row>
    <row r="942" spans="10:20" ht="15.75" customHeight="1" x14ac:dyDescent="0.25">
      <c r="J942" s="23"/>
      <c r="K942" s="23"/>
      <c r="L942" s="23"/>
      <c r="M942" s="23"/>
      <c r="R942" s="23"/>
      <c r="S942" s="23"/>
      <c r="T942" s="23"/>
    </row>
    <row r="943" spans="10:20" ht="15.75" customHeight="1" x14ac:dyDescent="0.25">
      <c r="J943" s="23"/>
      <c r="K943" s="23"/>
      <c r="L943" s="23"/>
      <c r="M943" s="23"/>
      <c r="R943" s="23"/>
      <c r="S943" s="23"/>
      <c r="T943" s="23"/>
    </row>
    <row r="944" spans="10:20" ht="15.75" customHeight="1" x14ac:dyDescent="0.25">
      <c r="J944" s="23"/>
      <c r="K944" s="23"/>
      <c r="L944" s="23"/>
      <c r="M944" s="23"/>
      <c r="R944" s="23"/>
      <c r="S944" s="23"/>
      <c r="T944" s="23"/>
    </row>
    <row r="945" spans="10:20" ht="15.75" customHeight="1" x14ac:dyDescent="0.25">
      <c r="J945" s="23"/>
      <c r="K945" s="23"/>
      <c r="L945" s="23"/>
      <c r="M945" s="23"/>
      <c r="R945" s="23"/>
      <c r="S945" s="23"/>
      <c r="T945" s="23"/>
    </row>
    <row r="946" spans="10:20" ht="15.75" customHeight="1" x14ac:dyDescent="0.25">
      <c r="J946" s="23"/>
      <c r="K946" s="23"/>
      <c r="L946" s="23"/>
      <c r="M946" s="23"/>
      <c r="R946" s="23"/>
      <c r="S946" s="23"/>
      <c r="T946" s="23"/>
    </row>
    <row r="947" spans="10:20" ht="15.75" customHeight="1" x14ac:dyDescent="0.25">
      <c r="J947" s="23"/>
      <c r="K947" s="23"/>
      <c r="L947" s="23"/>
      <c r="M947" s="23"/>
      <c r="R947" s="23"/>
      <c r="S947" s="23"/>
      <c r="T947" s="23"/>
    </row>
    <row r="948" spans="10:20" ht="15.75" customHeight="1" x14ac:dyDescent="0.25">
      <c r="J948" s="23"/>
      <c r="K948" s="23"/>
      <c r="L948" s="23"/>
      <c r="M948" s="23"/>
      <c r="R948" s="23"/>
      <c r="S948" s="23"/>
      <c r="T948" s="23"/>
    </row>
    <row r="949" spans="10:20" ht="15.75" customHeight="1" x14ac:dyDescent="0.25">
      <c r="J949" s="23"/>
      <c r="K949" s="23"/>
      <c r="L949" s="23"/>
      <c r="M949" s="23"/>
      <c r="R949" s="23"/>
      <c r="S949" s="23"/>
      <c r="T949" s="23"/>
    </row>
    <row r="950" spans="10:20" ht="15.75" customHeight="1" x14ac:dyDescent="0.25">
      <c r="J950" s="23"/>
      <c r="K950" s="23"/>
      <c r="L950" s="23"/>
      <c r="M950" s="23"/>
      <c r="R950" s="23"/>
      <c r="S950" s="23"/>
      <c r="T950" s="23"/>
    </row>
    <row r="951" spans="10:20" ht="15.75" customHeight="1" x14ac:dyDescent="0.25">
      <c r="J951" s="23"/>
      <c r="K951" s="23"/>
      <c r="L951" s="23"/>
      <c r="M951" s="23"/>
      <c r="R951" s="23"/>
      <c r="S951" s="23"/>
      <c r="T951" s="23"/>
    </row>
    <row r="952" spans="10:20" ht="15.75" customHeight="1" x14ac:dyDescent="0.25">
      <c r="J952" s="23"/>
      <c r="K952" s="23"/>
      <c r="L952" s="23"/>
      <c r="M952" s="23"/>
      <c r="R952" s="23"/>
      <c r="S952" s="23"/>
      <c r="T952" s="23"/>
    </row>
    <row r="953" spans="10:20" ht="15.75" customHeight="1" x14ac:dyDescent="0.25">
      <c r="J953" s="23"/>
      <c r="K953" s="23"/>
      <c r="L953" s="23"/>
      <c r="M953" s="23"/>
      <c r="R953" s="23"/>
      <c r="S953" s="23"/>
      <c r="T953" s="23"/>
    </row>
    <row r="954" spans="10:20" ht="15.75" customHeight="1" x14ac:dyDescent="0.25">
      <c r="J954" s="23"/>
      <c r="K954" s="23"/>
      <c r="L954" s="23"/>
      <c r="M954" s="23"/>
      <c r="R954" s="23"/>
      <c r="S954" s="23"/>
      <c r="T954" s="23"/>
    </row>
    <row r="955" spans="10:20" ht="15.75" customHeight="1" x14ac:dyDescent="0.25">
      <c r="J955" s="23"/>
      <c r="K955" s="23"/>
      <c r="L955" s="23"/>
      <c r="M955" s="23"/>
      <c r="R955" s="23"/>
      <c r="S955" s="23"/>
      <c r="T955" s="23"/>
    </row>
    <row r="956" spans="10:20" ht="15.75" customHeight="1" x14ac:dyDescent="0.25">
      <c r="J956" s="23"/>
      <c r="K956" s="23"/>
      <c r="L956" s="23"/>
      <c r="M956" s="23"/>
      <c r="R956" s="23"/>
      <c r="S956" s="23"/>
      <c r="T956" s="23"/>
    </row>
    <row r="957" spans="10:20" ht="15.75" customHeight="1" x14ac:dyDescent="0.25">
      <c r="J957" s="23"/>
      <c r="K957" s="23"/>
      <c r="L957" s="23"/>
      <c r="M957" s="23"/>
      <c r="R957" s="23"/>
      <c r="S957" s="23"/>
      <c r="T957" s="23"/>
    </row>
    <row r="958" spans="10:20" ht="15.75" customHeight="1" x14ac:dyDescent="0.25">
      <c r="J958" s="23"/>
      <c r="K958" s="23"/>
      <c r="L958" s="23"/>
      <c r="M958" s="23"/>
      <c r="R958" s="23"/>
      <c r="S958" s="23"/>
      <c r="T958" s="23"/>
    </row>
    <row r="959" spans="10:20" ht="15.75" customHeight="1" x14ac:dyDescent="0.25">
      <c r="J959" s="23"/>
      <c r="K959" s="23"/>
      <c r="L959" s="23"/>
      <c r="M959" s="23"/>
      <c r="R959" s="23"/>
      <c r="S959" s="23"/>
      <c r="T959" s="23"/>
    </row>
    <row r="960" spans="10:20" ht="15.75" customHeight="1" x14ac:dyDescent="0.25">
      <c r="J960" s="23"/>
      <c r="K960" s="23"/>
      <c r="L960" s="23"/>
      <c r="M960" s="23"/>
      <c r="R960" s="23"/>
      <c r="S960" s="23"/>
      <c r="T960" s="23"/>
    </row>
    <row r="961" spans="10:20" ht="15.75" customHeight="1" x14ac:dyDescent="0.25">
      <c r="J961" s="23"/>
      <c r="K961" s="23"/>
      <c r="L961" s="23"/>
      <c r="M961" s="23"/>
      <c r="R961" s="23"/>
      <c r="S961" s="23"/>
      <c r="T961" s="23"/>
    </row>
    <row r="962" spans="10:20" ht="15.75" customHeight="1" x14ac:dyDescent="0.25">
      <c r="J962" s="23"/>
      <c r="K962" s="23"/>
      <c r="L962" s="23"/>
      <c r="M962" s="23"/>
      <c r="R962" s="23"/>
      <c r="S962" s="23"/>
      <c r="T962" s="23"/>
    </row>
    <row r="963" spans="10:20" ht="15.75" customHeight="1" x14ac:dyDescent="0.25">
      <c r="J963" s="23"/>
      <c r="K963" s="23"/>
      <c r="L963" s="23"/>
      <c r="M963" s="23"/>
      <c r="R963" s="23"/>
      <c r="S963" s="23"/>
      <c r="T963" s="23"/>
    </row>
    <row r="964" spans="10:20" ht="15.75" customHeight="1" x14ac:dyDescent="0.25">
      <c r="J964" s="23"/>
      <c r="K964" s="23"/>
      <c r="L964" s="23"/>
      <c r="M964" s="23"/>
      <c r="R964" s="23"/>
      <c r="S964" s="23"/>
      <c r="T964" s="23"/>
    </row>
    <row r="965" spans="10:20" ht="15.75" customHeight="1" x14ac:dyDescent="0.25">
      <c r="J965" s="23"/>
      <c r="K965" s="23"/>
      <c r="L965" s="23"/>
      <c r="M965" s="23"/>
      <c r="R965" s="23"/>
      <c r="S965" s="23"/>
      <c r="T965" s="23"/>
    </row>
    <row r="966" spans="10:20" ht="15.75" customHeight="1" x14ac:dyDescent="0.25">
      <c r="J966" s="23"/>
      <c r="K966" s="23"/>
      <c r="L966" s="23"/>
      <c r="M966" s="23"/>
      <c r="R966" s="23"/>
      <c r="S966" s="23"/>
      <c r="T966" s="23"/>
    </row>
    <row r="967" spans="10:20" ht="15.75" customHeight="1" x14ac:dyDescent="0.25">
      <c r="J967" s="23"/>
      <c r="K967" s="23"/>
      <c r="L967" s="23"/>
      <c r="M967" s="23"/>
      <c r="R967" s="23"/>
      <c r="S967" s="23"/>
      <c r="T967" s="23"/>
    </row>
    <row r="968" spans="10:20" ht="15.75" customHeight="1" x14ac:dyDescent="0.25">
      <c r="J968" s="23"/>
      <c r="K968" s="23"/>
      <c r="L968" s="23"/>
      <c r="M968" s="23"/>
      <c r="R968" s="23"/>
      <c r="S968" s="23"/>
      <c r="T968" s="23"/>
    </row>
    <row r="969" spans="10:20" ht="15.75" customHeight="1" x14ac:dyDescent="0.25">
      <c r="J969" s="23"/>
      <c r="K969" s="23"/>
      <c r="L969" s="23"/>
      <c r="M969" s="23"/>
      <c r="R969" s="23"/>
      <c r="S969" s="23"/>
      <c r="T969" s="23"/>
    </row>
    <row r="970" spans="10:20" ht="15.75" customHeight="1" x14ac:dyDescent="0.25">
      <c r="J970" s="23"/>
      <c r="K970" s="23"/>
      <c r="L970" s="23"/>
      <c r="M970" s="23"/>
      <c r="R970" s="23"/>
      <c r="S970" s="23"/>
      <c r="T970" s="23"/>
    </row>
    <row r="971" spans="10:20" ht="15.75" customHeight="1" x14ac:dyDescent="0.25">
      <c r="J971" s="23"/>
      <c r="K971" s="23"/>
      <c r="L971" s="23"/>
      <c r="M971" s="23"/>
      <c r="R971" s="23"/>
      <c r="S971" s="23"/>
      <c r="T971" s="23"/>
    </row>
    <row r="972" spans="10:20" ht="15.75" customHeight="1" x14ac:dyDescent="0.25">
      <c r="J972" s="23"/>
      <c r="K972" s="23"/>
      <c r="L972" s="23"/>
      <c r="M972" s="23"/>
      <c r="R972" s="23"/>
      <c r="S972" s="23"/>
      <c r="T972" s="23"/>
    </row>
    <row r="973" spans="10:20" ht="15.75" customHeight="1" x14ac:dyDescent="0.25">
      <c r="J973" s="23"/>
      <c r="K973" s="23"/>
      <c r="L973" s="23"/>
      <c r="M973" s="23"/>
      <c r="R973" s="23"/>
      <c r="S973" s="23"/>
      <c r="T973" s="23"/>
    </row>
    <row r="974" spans="10:20" ht="15.75" customHeight="1" x14ac:dyDescent="0.25">
      <c r="J974" s="23"/>
      <c r="K974" s="23"/>
      <c r="L974" s="23"/>
      <c r="M974" s="23"/>
      <c r="R974" s="23"/>
      <c r="S974" s="23"/>
      <c r="T974" s="23"/>
    </row>
    <row r="975" spans="10:20" ht="15.75" customHeight="1" x14ac:dyDescent="0.25">
      <c r="J975" s="23"/>
      <c r="K975" s="23"/>
      <c r="L975" s="23"/>
      <c r="M975" s="23"/>
      <c r="R975" s="23"/>
      <c r="S975" s="23"/>
      <c r="T975" s="23"/>
    </row>
    <row r="976" spans="10:20" ht="15.75" customHeight="1" x14ac:dyDescent="0.25">
      <c r="J976" s="23"/>
      <c r="K976" s="23"/>
      <c r="L976" s="23"/>
      <c r="M976" s="23"/>
      <c r="R976" s="23"/>
      <c r="S976" s="23"/>
      <c r="T976" s="23"/>
    </row>
    <row r="977" spans="10:20" ht="15.75" customHeight="1" x14ac:dyDescent="0.25">
      <c r="J977" s="23"/>
      <c r="K977" s="23"/>
      <c r="L977" s="23"/>
      <c r="M977" s="23"/>
      <c r="R977" s="23"/>
      <c r="S977" s="23"/>
      <c r="T977" s="23"/>
    </row>
    <row r="978" spans="10:20" ht="15.75" customHeight="1" x14ac:dyDescent="0.25">
      <c r="J978" s="23"/>
      <c r="K978" s="23"/>
      <c r="L978" s="23"/>
      <c r="M978" s="23"/>
      <c r="R978" s="23"/>
      <c r="S978" s="23"/>
      <c r="T978" s="23"/>
    </row>
    <row r="979" spans="10:20" ht="15.75" customHeight="1" x14ac:dyDescent="0.25">
      <c r="J979" s="23"/>
      <c r="K979" s="23"/>
      <c r="L979" s="23"/>
      <c r="M979" s="23"/>
      <c r="R979" s="23"/>
      <c r="S979" s="23"/>
      <c r="T979" s="23"/>
    </row>
    <row r="980" spans="10:20" ht="15.75" customHeight="1" x14ac:dyDescent="0.25">
      <c r="J980" s="23"/>
      <c r="K980" s="23"/>
      <c r="L980" s="23"/>
      <c r="M980" s="23"/>
      <c r="R980" s="23"/>
      <c r="S980" s="23"/>
      <c r="T980" s="23"/>
    </row>
    <row r="981" spans="10:20" ht="15.75" customHeight="1" x14ac:dyDescent="0.25">
      <c r="J981" s="23"/>
      <c r="K981" s="23"/>
      <c r="L981" s="23"/>
      <c r="M981" s="23"/>
      <c r="R981" s="23"/>
      <c r="S981" s="23"/>
      <c r="T981" s="23"/>
    </row>
    <row r="982" spans="10:20" ht="15.75" customHeight="1" x14ac:dyDescent="0.25">
      <c r="J982" s="23"/>
      <c r="K982" s="23"/>
      <c r="L982" s="23"/>
      <c r="M982" s="23"/>
      <c r="R982" s="23"/>
      <c r="S982" s="23"/>
      <c r="T982" s="23"/>
    </row>
    <row r="983" spans="10:20" ht="15.75" customHeight="1" x14ac:dyDescent="0.25">
      <c r="J983" s="23"/>
      <c r="K983" s="23"/>
      <c r="L983" s="23"/>
      <c r="M983" s="23"/>
      <c r="R983" s="23"/>
      <c r="S983" s="23"/>
      <c r="T983" s="23"/>
    </row>
    <row r="984" spans="10:20" ht="15.75" customHeight="1" x14ac:dyDescent="0.25">
      <c r="J984" s="23"/>
      <c r="K984" s="23"/>
      <c r="L984" s="23"/>
      <c r="M984" s="23"/>
      <c r="R984" s="23"/>
      <c r="S984" s="23"/>
      <c r="T984" s="23"/>
    </row>
    <row r="985" spans="10:20" ht="15.75" customHeight="1" x14ac:dyDescent="0.25">
      <c r="J985" s="23"/>
      <c r="K985" s="23"/>
      <c r="L985" s="23"/>
      <c r="M985" s="23"/>
      <c r="R985" s="23"/>
      <c r="S985" s="23"/>
      <c r="T985" s="23"/>
    </row>
    <row r="986" spans="10:20" ht="15.75" customHeight="1" x14ac:dyDescent="0.25">
      <c r="J986" s="23"/>
      <c r="K986" s="23"/>
      <c r="L986" s="23"/>
      <c r="M986" s="23"/>
      <c r="R986" s="23"/>
      <c r="S986" s="23"/>
      <c r="T986" s="23"/>
    </row>
    <row r="987" spans="10:20" ht="15.75" customHeight="1" x14ac:dyDescent="0.25">
      <c r="J987" s="23"/>
      <c r="K987" s="23"/>
      <c r="L987" s="23"/>
      <c r="M987" s="23"/>
      <c r="R987" s="23"/>
      <c r="S987" s="23"/>
      <c r="T987" s="23"/>
    </row>
    <row r="988" spans="10:20" ht="15.75" customHeight="1" x14ac:dyDescent="0.25">
      <c r="J988" s="23"/>
      <c r="K988" s="23"/>
      <c r="L988" s="23"/>
      <c r="M988" s="23"/>
      <c r="R988" s="23"/>
      <c r="S988" s="23"/>
      <c r="T988" s="23"/>
    </row>
    <row r="989" spans="10:20" ht="15.75" customHeight="1" x14ac:dyDescent="0.25">
      <c r="J989" s="23"/>
      <c r="K989" s="23"/>
      <c r="L989" s="23"/>
      <c r="M989" s="23"/>
      <c r="R989" s="23"/>
      <c r="S989" s="23"/>
      <c r="T989" s="23"/>
    </row>
    <row r="990" spans="10:20" ht="15.75" customHeight="1" x14ac:dyDescent="0.25">
      <c r="J990" s="23"/>
      <c r="K990" s="23"/>
      <c r="L990" s="23"/>
      <c r="M990" s="23"/>
      <c r="R990" s="23"/>
      <c r="S990" s="23"/>
      <c r="T990" s="23"/>
    </row>
    <row r="991" spans="10:20" ht="15.75" customHeight="1" x14ac:dyDescent="0.25">
      <c r="J991" s="23"/>
      <c r="K991" s="23"/>
      <c r="L991" s="23"/>
      <c r="M991" s="23"/>
      <c r="R991" s="23"/>
      <c r="S991" s="23"/>
      <c r="T991" s="23"/>
    </row>
    <row r="992" spans="10:20" ht="15.75" customHeight="1" x14ac:dyDescent="0.25">
      <c r="J992" s="23"/>
      <c r="K992" s="23"/>
      <c r="L992" s="23"/>
      <c r="M992" s="23"/>
      <c r="R992" s="23"/>
      <c r="S992" s="23"/>
      <c r="T992" s="23"/>
    </row>
    <row r="993" spans="10:20" ht="15.75" customHeight="1" x14ac:dyDescent="0.25">
      <c r="J993" s="23"/>
      <c r="K993" s="23"/>
      <c r="L993" s="23"/>
      <c r="M993" s="23"/>
      <c r="R993" s="23"/>
      <c r="S993" s="23"/>
      <c r="T993" s="23"/>
    </row>
    <row r="994" spans="10:20" ht="15.75" customHeight="1" x14ac:dyDescent="0.25">
      <c r="J994" s="23"/>
      <c r="K994" s="23"/>
      <c r="L994" s="23"/>
      <c r="M994" s="23"/>
      <c r="R994" s="23"/>
      <c r="S994" s="23"/>
      <c r="T994" s="23"/>
    </row>
    <row r="995" spans="10:20" ht="15.75" customHeight="1" x14ac:dyDescent="0.25">
      <c r="J995" s="23"/>
      <c r="K995" s="23"/>
      <c r="L995" s="23"/>
      <c r="M995" s="23"/>
      <c r="R995" s="23"/>
      <c r="S995" s="23"/>
      <c r="T995" s="23"/>
    </row>
    <row r="996" spans="10:20" ht="15.75" customHeight="1" x14ac:dyDescent="0.25">
      <c r="J996" s="23"/>
      <c r="K996" s="23"/>
      <c r="L996" s="23"/>
      <c r="M996" s="23"/>
      <c r="R996" s="23"/>
      <c r="S996" s="23"/>
      <c r="T996" s="23"/>
    </row>
    <row r="997" spans="10:20" ht="15.75" customHeight="1" x14ac:dyDescent="0.25">
      <c r="J997" s="23"/>
      <c r="K997" s="23"/>
      <c r="L997" s="23"/>
      <c r="M997" s="23"/>
      <c r="R997" s="23"/>
      <c r="S997" s="23"/>
      <c r="T997" s="23"/>
    </row>
    <row r="998" spans="10:20" ht="15.75" customHeight="1" x14ac:dyDescent="0.25">
      <c r="J998" s="23"/>
      <c r="K998" s="23"/>
      <c r="L998" s="23"/>
      <c r="M998" s="23"/>
      <c r="R998" s="23"/>
      <c r="S998" s="23"/>
      <c r="T998" s="23"/>
    </row>
    <row r="999" spans="10:20" ht="15.75" customHeight="1" x14ac:dyDescent="0.25">
      <c r="J999" s="23"/>
      <c r="K999" s="23"/>
      <c r="L999" s="23"/>
      <c r="M999" s="23"/>
      <c r="R999" s="23"/>
      <c r="S999" s="23"/>
      <c r="T999" s="23"/>
    </row>
    <row r="1000" spans="10:20" ht="15.75" customHeight="1" x14ac:dyDescent="0.25">
      <c r="J1000" s="23"/>
      <c r="K1000" s="23"/>
      <c r="L1000" s="23"/>
      <c r="M1000" s="23"/>
      <c r="R1000" s="23"/>
      <c r="S1000" s="23"/>
      <c r="T1000" s="23"/>
    </row>
  </sheetData>
  <sheetProtection algorithmName="SHA-512" hashValue="xgjltG9JoaOsOdpRD96nssohOFEakh4nSwswern4eow3/EDd9xs6lvcorWTrwr+diZC7Spfnga9X1PzLEI+6Qw==" saltValue="INkBw3z9HigeztBrPm0v4A==" spinCount="100000" sheet="1" objects="1" scenarios="1"/>
  <mergeCells count="21">
    <mergeCell ref="I2:AH2"/>
    <mergeCell ref="P4:T4"/>
    <mergeCell ref="W4:AA4"/>
    <mergeCell ref="AD4:AH4"/>
    <mergeCell ref="AJ4:AO4"/>
    <mergeCell ref="I4:M4"/>
    <mergeCell ref="AJ8:AM8"/>
    <mergeCell ref="AJ13:AK13"/>
    <mergeCell ref="P32:T32"/>
    <mergeCell ref="W32:AA32"/>
    <mergeCell ref="I45:M45"/>
    <mergeCell ref="P45:T45"/>
    <mergeCell ref="W45:AA45"/>
    <mergeCell ref="AD45:AH45"/>
    <mergeCell ref="I17:M17"/>
    <mergeCell ref="P17:T17"/>
    <mergeCell ref="W17:AA17"/>
    <mergeCell ref="AD17:AH17"/>
    <mergeCell ref="I30:AH30"/>
    <mergeCell ref="I32:M32"/>
    <mergeCell ref="AD32:AH32"/>
  </mergeCells>
  <conditionalFormatting sqref="J9:L24 N9:P24 J26:L29 J31:L41">
    <cfRule type="expression" dxfId="0" priority="1">
      <formula>"AND($E$15&lt;0.5,$H$9&gt;Calcs!$AN$6)"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Summaries</vt:lpstr>
      <vt:lpstr>Closing Cost Estimate</vt:lpstr>
      <vt:lpstr>Amortization Schedule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DomRusso</dc:creator>
  <cp:lastModifiedBy>Dom Russo</cp:lastModifiedBy>
  <dcterms:created xsi:type="dcterms:W3CDTF">2023-12-08T14:27:16Z</dcterms:created>
  <dcterms:modified xsi:type="dcterms:W3CDTF">2025-11-07T21:39:06Z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a21e1e-ea2d-4ee1-8dda-50c584d99024_Enabled">
    <vt:lpwstr>true</vt:lpwstr>
  </property>
  <property fmtid="{D5CDD505-2E9C-101B-9397-08002B2CF9AE}" pid="3" name="MSIP_Label_c2a21e1e-ea2d-4ee1-8dda-50c584d99024_SetDate">
    <vt:lpwstr>2025-08-04T19:47:51Z</vt:lpwstr>
  </property>
  <property fmtid="{D5CDD505-2E9C-101B-9397-08002B2CF9AE}" pid="4" name="MSIP_Label_c2a21e1e-ea2d-4ee1-8dda-50c584d99024_Method">
    <vt:lpwstr>Standard</vt:lpwstr>
  </property>
  <property fmtid="{D5CDD505-2E9C-101B-9397-08002B2CF9AE}" pid="5" name="MSIP_Label_c2a21e1e-ea2d-4ee1-8dda-50c584d99024_Name">
    <vt:lpwstr>Internal</vt:lpwstr>
  </property>
  <property fmtid="{D5CDD505-2E9C-101B-9397-08002B2CF9AE}" pid="6" name="MSIP_Label_c2a21e1e-ea2d-4ee1-8dda-50c584d99024_SiteId">
    <vt:lpwstr>59ae8427-c05f-4c7d-a4c2-1eebd4616d71</vt:lpwstr>
  </property>
  <property fmtid="{D5CDD505-2E9C-101B-9397-08002B2CF9AE}" pid="7" name="MSIP_Label_c2a21e1e-ea2d-4ee1-8dda-50c584d99024_ActionId">
    <vt:lpwstr>8fef2353-82e8-4608-887c-29c772c15654</vt:lpwstr>
  </property>
  <property fmtid="{D5CDD505-2E9C-101B-9397-08002B2CF9AE}" pid="8" name="MSIP_Label_c2a21e1e-ea2d-4ee1-8dda-50c584d99024_ContentBits">
    <vt:lpwstr>0</vt:lpwstr>
  </property>
  <property fmtid="{D5CDD505-2E9C-101B-9397-08002B2CF9AE}" pid="9" name="MSIP_Label_c2a21e1e-ea2d-4ee1-8dda-50c584d99024_Tag">
    <vt:lpwstr>10, 3, 0, 1</vt:lpwstr>
  </property>
</Properties>
</file>